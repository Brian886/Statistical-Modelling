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gyetem\Ökonometria I\2021\R kódok\8.hét\"/>
    </mc:Choice>
  </mc:AlternateContent>
  <xr:revisionPtr revIDLastSave="0" documentId="13_ncr:1_{51C6379B-3969-4372-8B82-E5DD39F7F9D1}" xr6:coauthVersionLast="46" xr6:coauthVersionMax="46" xr10:uidLastSave="{00000000-0000-0000-0000-000000000000}"/>
  <bookViews>
    <workbookView xWindow="-120" yWindow="-120" windowWidth="20730" windowHeight="11160" xr2:uid="{73DB5C11-F160-469C-9BC7-3DF6BFE34E9A}"/>
  </bookViews>
  <sheets>
    <sheet name="PCA sketch" sheetId="5" r:id="rId1"/>
    <sheet name="Data" sheetId="1" r:id="rId2"/>
    <sheet name="PCA" sheetId="2" r:id="rId3"/>
    <sheet name="PCA optimum tulajdonsága" sheetId="3" state="hidden" r:id="rId4"/>
  </sheets>
  <functionGroups builtInGroupCount="19"/>
  <definedNames>
    <definedName name="_xlnm._FilterDatabase" localSheetId="1" hidden="1">Data!$A$1:$G$170</definedName>
    <definedName name="EgysegMatrix">#REF!</definedName>
    <definedName name="KorrMatrix">#REF!</definedName>
    <definedName name="NormalizaltAdatok">Data!$M$2:$R$170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3" l="1" a="1"/>
  <c r="K3" i="3" s="1"/>
  <c r="B2" i="3" a="1"/>
  <c r="B2" i="3" s="1"/>
  <c r="B22" i="2" a="1"/>
  <c r="B22" i="2" s="1"/>
  <c r="G6" i="2" l="1"/>
  <c r="F5" i="2" a="1"/>
  <c r="G5" i="2" s="1"/>
  <c r="E4" i="2" a="1"/>
  <c r="G4" i="2" s="1"/>
  <c r="D3" i="2" a="1"/>
  <c r="D3" i="2" s="1"/>
  <c r="C2" i="2" a="1"/>
  <c r="E2" i="2" s="1"/>
  <c r="M3" i="1"/>
  <c r="N3" i="1"/>
  <c r="O3" i="1"/>
  <c r="P3" i="1"/>
  <c r="Q3" i="1"/>
  <c r="R3" i="1"/>
  <c r="M4" i="1"/>
  <c r="N4" i="1"/>
  <c r="O4" i="1"/>
  <c r="P4" i="1"/>
  <c r="Q4" i="1"/>
  <c r="R4" i="1"/>
  <c r="M5" i="1"/>
  <c r="N5" i="1"/>
  <c r="O5" i="1"/>
  <c r="P5" i="1"/>
  <c r="Q5" i="1"/>
  <c r="R5" i="1"/>
  <c r="M6" i="1"/>
  <c r="N6" i="1"/>
  <c r="O6" i="1"/>
  <c r="P6" i="1"/>
  <c r="Q6" i="1"/>
  <c r="R6" i="1"/>
  <c r="M7" i="1"/>
  <c r="N7" i="1"/>
  <c r="O7" i="1"/>
  <c r="P7" i="1"/>
  <c r="Q7" i="1"/>
  <c r="R7" i="1"/>
  <c r="M8" i="1"/>
  <c r="N8" i="1"/>
  <c r="O8" i="1"/>
  <c r="P8" i="1"/>
  <c r="Q8" i="1"/>
  <c r="R8" i="1"/>
  <c r="M9" i="1"/>
  <c r="N9" i="1"/>
  <c r="O9" i="1"/>
  <c r="P9" i="1"/>
  <c r="Q9" i="1"/>
  <c r="R9" i="1"/>
  <c r="M10" i="1"/>
  <c r="N10" i="1"/>
  <c r="O10" i="1"/>
  <c r="P10" i="1"/>
  <c r="Q10" i="1"/>
  <c r="R10" i="1"/>
  <c r="M11" i="1"/>
  <c r="N11" i="1"/>
  <c r="O11" i="1"/>
  <c r="P11" i="1"/>
  <c r="Q11" i="1"/>
  <c r="R11" i="1"/>
  <c r="M12" i="1"/>
  <c r="N12" i="1"/>
  <c r="O12" i="1"/>
  <c r="P12" i="1"/>
  <c r="Q12" i="1"/>
  <c r="R12" i="1"/>
  <c r="M13" i="1"/>
  <c r="N13" i="1"/>
  <c r="O13" i="1"/>
  <c r="P13" i="1"/>
  <c r="Q13" i="1"/>
  <c r="R13" i="1"/>
  <c r="M14" i="1"/>
  <c r="N14" i="1"/>
  <c r="O14" i="1"/>
  <c r="P14" i="1"/>
  <c r="Q14" i="1"/>
  <c r="R14" i="1"/>
  <c r="M15" i="1"/>
  <c r="N15" i="1"/>
  <c r="O15" i="1"/>
  <c r="P15" i="1"/>
  <c r="Q15" i="1"/>
  <c r="R15" i="1"/>
  <c r="M16" i="1"/>
  <c r="N16" i="1"/>
  <c r="O16" i="1"/>
  <c r="P16" i="1"/>
  <c r="Q16" i="1"/>
  <c r="R16" i="1"/>
  <c r="M17" i="1"/>
  <c r="N17" i="1"/>
  <c r="O17" i="1"/>
  <c r="P17" i="1"/>
  <c r="Q17" i="1"/>
  <c r="R17" i="1"/>
  <c r="M18" i="1"/>
  <c r="N18" i="1"/>
  <c r="O18" i="1"/>
  <c r="P18" i="1"/>
  <c r="Q18" i="1"/>
  <c r="R18" i="1"/>
  <c r="M19" i="1"/>
  <c r="N19" i="1"/>
  <c r="O19" i="1"/>
  <c r="P19" i="1"/>
  <c r="Q19" i="1"/>
  <c r="R19" i="1"/>
  <c r="M20" i="1"/>
  <c r="N20" i="1"/>
  <c r="O20" i="1"/>
  <c r="P20" i="1"/>
  <c r="Q20" i="1"/>
  <c r="R20" i="1"/>
  <c r="M21" i="1"/>
  <c r="N21" i="1"/>
  <c r="O21" i="1"/>
  <c r="P21" i="1"/>
  <c r="Q21" i="1"/>
  <c r="R21" i="1"/>
  <c r="M22" i="1"/>
  <c r="N22" i="1"/>
  <c r="O22" i="1"/>
  <c r="P22" i="1"/>
  <c r="Q22" i="1"/>
  <c r="R22" i="1"/>
  <c r="M23" i="1"/>
  <c r="N23" i="1"/>
  <c r="O23" i="1"/>
  <c r="P23" i="1"/>
  <c r="Q23" i="1"/>
  <c r="R23" i="1"/>
  <c r="M24" i="1"/>
  <c r="N24" i="1"/>
  <c r="O24" i="1"/>
  <c r="P24" i="1"/>
  <c r="Q24" i="1"/>
  <c r="R24" i="1"/>
  <c r="M25" i="1"/>
  <c r="N25" i="1"/>
  <c r="O25" i="1"/>
  <c r="P25" i="1"/>
  <c r="Q25" i="1"/>
  <c r="R25" i="1"/>
  <c r="M26" i="1"/>
  <c r="N26" i="1"/>
  <c r="O26" i="1"/>
  <c r="P26" i="1"/>
  <c r="Q26" i="1"/>
  <c r="R26" i="1"/>
  <c r="M27" i="1"/>
  <c r="N27" i="1"/>
  <c r="O27" i="1"/>
  <c r="P27" i="1"/>
  <c r="Q27" i="1"/>
  <c r="R27" i="1"/>
  <c r="M28" i="1"/>
  <c r="N28" i="1"/>
  <c r="O28" i="1"/>
  <c r="P28" i="1"/>
  <c r="Q28" i="1"/>
  <c r="R28" i="1"/>
  <c r="M29" i="1"/>
  <c r="N29" i="1"/>
  <c r="O29" i="1"/>
  <c r="P29" i="1"/>
  <c r="Q29" i="1"/>
  <c r="R29" i="1"/>
  <c r="M30" i="1"/>
  <c r="N30" i="1"/>
  <c r="O30" i="1"/>
  <c r="P30" i="1"/>
  <c r="Q30" i="1"/>
  <c r="R30" i="1"/>
  <c r="M31" i="1"/>
  <c r="N31" i="1"/>
  <c r="O31" i="1"/>
  <c r="P31" i="1"/>
  <c r="Q31" i="1"/>
  <c r="R31" i="1"/>
  <c r="M32" i="1"/>
  <c r="N32" i="1"/>
  <c r="O32" i="1"/>
  <c r="P32" i="1"/>
  <c r="Q32" i="1"/>
  <c r="R32" i="1"/>
  <c r="M33" i="1"/>
  <c r="N33" i="1"/>
  <c r="O33" i="1"/>
  <c r="P33" i="1"/>
  <c r="Q33" i="1"/>
  <c r="R33" i="1"/>
  <c r="M34" i="1"/>
  <c r="N34" i="1"/>
  <c r="O34" i="1"/>
  <c r="P34" i="1"/>
  <c r="Q34" i="1"/>
  <c r="R34" i="1"/>
  <c r="M35" i="1"/>
  <c r="N35" i="1"/>
  <c r="O35" i="1"/>
  <c r="P35" i="1"/>
  <c r="Q35" i="1"/>
  <c r="R35" i="1"/>
  <c r="M36" i="1"/>
  <c r="N36" i="1"/>
  <c r="O36" i="1"/>
  <c r="P36" i="1"/>
  <c r="Q36" i="1"/>
  <c r="R36" i="1"/>
  <c r="M37" i="1"/>
  <c r="N37" i="1"/>
  <c r="O37" i="1"/>
  <c r="P37" i="1"/>
  <c r="Q37" i="1"/>
  <c r="R37" i="1"/>
  <c r="M38" i="1"/>
  <c r="N38" i="1"/>
  <c r="O38" i="1"/>
  <c r="P38" i="1"/>
  <c r="Q38" i="1"/>
  <c r="R38" i="1"/>
  <c r="M39" i="1"/>
  <c r="N39" i="1"/>
  <c r="O39" i="1"/>
  <c r="P39" i="1"/>
  <c r="Q39" i="1"/>
  <c r="R39" i="1"/>
  <c r="M40" i="1"/>
  <c r="N40" i="1"/>
  <c r="O40" i="1"/>
  <c r="P40" i="1"/>
  <c r="Q40" i="1"/>
  <c r="R40" i="1"/>
  <c r="M41" i="1"/>
  <c r="N41" i="1"/>
  <c r="O41" i="1"/>
  <c r="P41" i="1"/>
  <c r="Q41" i="1"/>
  <c r="R41" i="1"/>
  <c r="M42" i="1"/>
  <c r="N42" i="1"/>
  <c r="O42" i="1"/>
  <c r="P42" i="1"/>
  <c r="Q42" i="1"/>
  <c r="R42" i="1"/>
  <c r="M43" i="1"/>
  <c r="N43" i="1"/>
  <c r="O43" i="1"/>
  <c r="P43" i="1"/>
  <c r="Q43" i="1"/>
  <c r="R43" i="1"/>
  <c r="M44" i="1"/>
  <c r="N44" i="1"/>
  <c r="O44" i="1"/>
  <c r="P44" i="1"/>
  <c r="Q44" i="1"/>
  <c r="R44" i="1"/>
  <c r="M45" i="1"/>
  <c r="N45" i="1"/>
  <c r="O45" i="1"/>
  <c r="P45" i="1"/>
  <c r="Q45" i="1"/>
  <c r="R45" i="1"/>
  <c r="M46" i="1"/>
  <c r="N46" i="1"/>
  <c r="O46" i="1"/>
  <c r="P46" i="1"/>
  <c r="Q46" i="1"/>
  <c r="R46" i="1"/>
  <c r="M47" i="1"/>
  <c r="N47" i="1"/>
  <c r="O47" i="1"/>
  <c r="P47" i="1"/>
  <c r="Q47" i="1"/>
  <c r="R47" i="1"/>
  <c r="M48" i="1"/>
  <c r="N48" i="1"/>
  <c r="O48" i="1"/>
  <c r="P48" i="1"/>
  <c r="Q48" i="1"/>
  <c r="R48" i="1"/>
  <c r="M49" i="1"/>
  <c r="N49" i="1"/>
  <c r="O49" i="1"/>
  <c r="P49" i="1"/>
  <c r="Q49" i="1"/>
  <c r="R49" i="1"/>
  <c r="M50" i="1"/>
  <c r="N50" i="1"/>
  <c r="O50" i="1"/>
  <c r="P50" i="1"/>
  <c r="Q50" i="1"/>
  <c r="R50" i="1"/>
  <c r="M51" i="1"/>
  <c r="N51" i="1"/>
  <c r="O51" i="1"/>
  <c r="P51" i="1"/>
  <c r="Q51" i="1"/>
  <c r="R51" i="1"/>
  <c r="M52" i="1"/>
  <c r="N52" i="1"/>
  <c r="O52" i="1"/>
  <c r="P52" i="1"/>
  <c r="Q52" i="1"/>
  <c r="R52" i="1"/>
  <c r="M53" i="1"/>
  <c r="N53" i="1"/>
  <c r="O53" i="1"/>
  <c r="P53" i="1"/>
  <c r="Q53" i="1"/>
  <c r="R53" i="1"/>
  <c r="M54" i="1"/>
  <c r="N54" i="1"/>
  <c r="O54" i="1"/>
  <c r="P54" i="1"/>
  <c r="Q54" i="1"/>
  <c r="R54" i="1"/>
  <c r="M55" i="1"/>
  <c r="N55" i="1"/>
  <c r="O55" i="1"/>
  <c r="P55" i="1"/>
  <c r="Q55" i="1"/>
  <c r="R55" i="1"/>
  <c r="M56" i="1"/>
  <c r="N56" i="1"/>
  <c r="O56" i="1"/>
  <c r="P56" i="1"/>
  <c r="Q56" i="1"/>
  <c r="R56" i="1"/>
  <c r="M57" i="1"/>
  <c r="N57" i="1"/>
  <c r="O57" i="1"/>
  <c r="P57" i="1"/>
  <c r="Q57" i="1"/>
  <c r="R57" i="1"/>
  <c r="M58" i="1"/>
  <c r="N58" i="1"/>
  <c r="O58" i="1"/>
  <c r="P58" i="1"/>
  <c r="Q58" i="1"/>
  <c r="R58" i="1"/>
  <c r="M59" i="1"/>
  <c r="N59" i="1"/>
  <c r="O59" i="1"/>
  <c r="P59" i="1"/>
  <c r="Q59" i="1"/>
  <c r="R59" i="1"/>
  <c r="M60" i="1"/>
  <c r="N60" i="1"/>
  <c r="O60" i="1"/>
  <c r="P60" i="1"/>
  <c r="Q60" i="1"/>
  <c r="R60" i="1"/>
  <c r="M61" i="1"/>
  <c r="N61" i="1"/>
  <c r="O61" i="1"/>
  <c r="P61" i="1"/>
  <c r="Q61" i="1"/>
  <c r="R61" i="1"/>
  <c r="M62" i="1"/>
  <c r="N62" i="1"/>
  <c r="O62" i="1"/>
  <c r="P62" i="1"/>
  <c r="Q62" i="1"/>
  <c r="R62" i="1"/>
  <c r="M63" i="1"/>
  <c r="N63" i="1"/>
  <c r="O63" i="1"/>
  <c r="P63" i="1"/>
  <c r="Q63" i="1"/>
  <c r="R63" i="1"/>
  <c r="M64" i="1"/>
  <c r="N64" i="1"/>
  <c r="O64" i="1"/>
  <c r="P64" i="1"/>
  <c r="Q64" i="1"/>
  <c r="R64" i="1"/>
  <c r="M65" i="1"/>
  <c r="N65" i="1"/>
  <c r="O65" i="1"/>
  <c r="P65" i="1"/>
  <c r="Q65" i="1"/>
  <c r="R65" i="1"/>
  <c r="M66" i="1"/>
  <c r="N66" i="1"/>
  <c r="O66" i="1"/>
  <c r="P66" i="1"/>
  <c r="Q66" i="1"/>
  <c r="R66" i="1"/>
  <c r="M67" i="1"/>
  <c r="N67" i="1"/>
  <c r="O67" i="1"/>
  <c r="P67" i="1"/>
  <c r="Q67" i="1"/>
  <c r="R67" i="1"/>
  <c r="M68" i="1"/>
  <c r="N68" i="1"/>
  <c r="O68" i="1"/>
  <c r="P68" i="1"/>
  <c r="Q68" i="1"/>
  <c r="R68" i="1"/>
  <c r="M69" i="1"/>
  <c r="N69" i="1"/>
  <c r="O69" i="1"/>
  <c r="P69" i="1"/>
  <c r="Q69" i="1"/>
  <c r="R69" i="1"/>
  <c r="M70" i="1"/>
  <c r="N70" i="1"/>
  <c r="O70" i="1"/>
  <c r="P70" i="1"/>
  <c r="Q70" i="1"/>
  <c r="R70" i="1"/>
  <c r="M71" i="1"/>
  <c r="N71" i="1"/>
  <c r="O71" i="1"/>
  <c r="P71" i="1"/>
  <c r="Q71" i="1"/>
  <c r="R71" i="1"/>
  <c r="M72" i="1"/>
  <c r="N72" i="1"/>
  <c r="O72" i="1"/>
  <c r="P72" i="1"/>
  <c r="Q72" i="1"/>
  <c r="R72" i="1"/>
  <c r="M73" i="1"/>
  <c r="N73" i="1"/>
  <c r="O73" i="1"/>
  <c r="P73" i="1"/>
  <c r="Q73" i="1"/>
  <c r="R73" i="1"/>
  <c r="M74" i="1"/>
  <c r="N74" i="1"/>
  <c r="O74" i="1"/>
  <c r="P74" i="1"/>
  <c r="Q74" i="1"/>
  <c r="R74" i="1"/>
  <c r="M75" i="1"/>
  <c r="N75" i="1"/>
  <c r="O75" i="1"/>
  <c r="P75" i="1"/>
  <c r="Q75" i="1"/>
  <c r="R75" i="1"/>
  <c r="M76" i="1"/>
  <c r="N76" i="1"/>
  <c r="O76" i="1"/>
  <c r="P76" i="1"/>
  <c r="Q76" i="1"/>
  <c r="R76" i="1"/>
  <c r="M77" i="1"/>
  <c r="N77" i="1"/>
  <c r="O77" i="1"/>
  <c r="P77" i="1"/>
  <c r="Q77" i="1"/>
  <c r="R77" i="1"/>
  <c r="M78" i="1"/>
  <c r="N78" i="1"/>
  <c r="O78" i="1"/>
  <c r="P78" i="1"/>
  <c r="Q78" i="1"/>
  <c r="R78" i="1"/>
  <c r="M79" i="1"/>
  <c r="N79" i="1"/>
  <c r="O79" i="1"/>
  <c r="P79" i="1"/>
  <c r="Q79" i="1"/>
  <c r="R79" i="1"/>
  <c r="M80" i="1"/>
  <c r="N80" i="1"/>
  <c r="O80" i="1"/>
  <c r="P80" i="1"/>
  <c r="Q80" i="1"/>
  <c r="R80" i="1"/>
  <c r="M81" i="1"/>
  <c r="N81" i="1"/>
  <c r="O81" i="1"/>
  <c r="P81" i="1"/>
  <c r="Q81" i="1"/>
  <c r="R81" i="1"/>
  <c r="M82" i="1"/>
  <c r="N82" i="1"/>
  <c r="O82" i="1"/>
  <c r="P82" i="1"/>
  <c r="Q82" i="1"/>
  <c r="R82" i="1"/>
  <c r="M83" i="1"/>
  <c r="N83" i="1"/>
  <c r="O83" i="1"/>
  <c r="P83" i="1"/>
  <c r="Q83" i="1"/>
  <c r="R83" i="1"/>
  <c r="M84" i="1"/>
  <c r="N84" i="1"/>
  <c r="O84" i="1"/>
  <c r="P84" i="1"/>
  <c r="Q84" i="1"/>
  <c r="R84" i="1"/>
  <c r="M85" i="1"/>
  <c r="N85" i="1"/>
  <c r="O85" i="1"/>
  <c r="P85" i="1"/>
  <c r="Q85" i="1"/>
  <c r="R85" i="1"/>
  <c r="M86" i="1"/>
  <c r="N86" i="1"/>
  <c r="O86" i="1"/>
  <c r="P86" i="1"/>
  <c r="Q86" i="1"/>
  <c r="R86" i="1"/>
  <c r="M87" i="1"/>
  <c r="N87" i="1"/>
  <c r="O87" i="1"/>
  <c r="P87" i="1"/>
  <c r="Q87" i="1"/>
  <c r="R87" i="1"/>
  <c r="M88" i="1"/>
  <c r="N88" i="1"/>
  <c r="O88" i="1"/>
  <c r="P88" i="1"/>
  <c r="Q88" i="1"/>
  <c r="R88" i="1"/>
  <c r="M89" i="1"/>
  <c r="N89" i="1"/>
  <c r="O89" i="1"/>
  <c r="P89" i="1"/>
  <c r="Q89" i="1"/>
  <c r="R89" i="1"/>
  <c r="M90" i="1"/>
  <c r="N90" i="1"/>
  <c r="O90" i="1"/>
  <c r="P90" i="1"/>
  <c r="Q90" i="1"/>
  <c r="R90" i="1"/>
  <c r="M91" i="1"/>
  <c r="N91" i="1"/>
  <c r="O91" i="1"/>
  <c r="P91" i="1"/>
  <c r="Q91" i="1"/>
  <c r="R91" i="1"/>
  <c r="M92" i="1"/>
  <c r="N92" i="1"/>
  <c r="O92" i="1"/>
  <c r="P92" i="1"/>
  <c r="Q92" i="1"/>
  <c r="R92" i="1"/>
  <c r="M93" i="1"/>
  <c r="N93" i="1"/>
  <c r="O93" i="1"/>
  <c r="P93" i="1"/>
  <c r="Q93" i="1"/>
  <c r="R93" i="1"/>
  <c r="M94" i="1"/>
  <c r="N94" i="1"/>
  <c r="O94" i="1"/>
  <c r="P94" i="1"/>
  <c r="Q94" i="1"/>
  <c r="R94" i="1"/>
  <c r="M95" i="1"/>
  <c r="N95" i="1"/>
  <c r="O95" i="1"/>
  <c r="P95" i="1"/>
  <c r="Q95" i="1"/>
  <c r="R95" i="1"/>
  <c r="M96" i="1"/>
  <c r="N96" i="1"/>
  <c r="O96" i="1"/>
  <c r="P96" i="1"/>
  <c r="Q96" i="1"/>
  <c r="R96" i="1"/>
  <c r="M97" i="1"/>
  <c r="N97" i="1"/>
  <c r="O97" i="1"/>
  <c r="P97" i="1"/>
  <c r="Q97" i="1"/>
  <c r="R97" i="1"/>
  <c r="M98" i="1"/>
  <c r="N98" i="1"/>
  <c r="O98" i="1"/>
  <c r="P98" i="1"/>
  <c r="Q98" i="1"/>
  <c r="R98" i="1"/>
  <c r="M99" i="1"/>
  <c r="N99" i="1"/>
  <c r="O99" i="1"/>
  <c r="P99" i="1"/>
  <c r="Q99" i="1"/>
  <c r="R99" i="1"/>
  <c r="M100" i="1"/>
  <c r="N100" i="1"/>
  <c r="O100" i="1"/>
  <c r="P100" i="1"/>
  <c r="Q100" i="1"/>
  <c r="R100" i="1"/>
  <c r="M101" i="1"/>
  <c r="N101" i="1"/>
  <c r="O101" i="1"/>
  <c r="P101" i="1"/>
  <c r="Q101" i="1"/>
  <c r="R101" i="1"/>
  <c r="M102" i="1"/>
  <c r="N102" i="1"/>
  <c r="O102" i="1"/>
  <c r="P102" i="1"/>
  <c r="Q102" i="1"/>
  <c r="R102" i="1"/>
  <c r="M103" i="1"/>
  <c r="N103" i="1"/>
  <c r="O103" i="1"/>
  <c r="P103" i="1"/>
  <c r="Q103" i="1"/>
  <c r="R103" i="1"/>
  <c r="M104" i="1"/>
  <c r="N104" i="1"/>
  <c r="O104" i="1"/>
  <c r="P104" i="1"/>
  <c r="Q104" i="1"/>
  <c r="R104" i="1"/>
  <c r="M105" i="1"/>
  <c r="N105" i="1"/>
  <c r="O105" i="1"/>
  <c r="P105" i="1"/>
  <c r="Q105" i="1"/>
  <c r="R105" i="1"/>
  <c r="M106" i="1"/>
  <c r="N106" i="1"/>
  <c r="O106" i="1"/>
  <c r="P106" i="1"/>
  <c r="Q106" i="1"/>
  <c r="R106" i="1"/>
  <c r="M107" i="1"/>
  <c r="N107" i="1"/>
  <c r="O107" i="1"/>
  <c r="P107" i="1"/>
  <c r="Q107" i="1"/>
  <c r="R107" i="1"/>
  <c r="M108" i="1"/>
  <c r="N108" i="1"/>
  <c r="O108" i="1"/>
  <c r="P108" i="1"/>
  <c r="Q108" i="1"/>
  <c r="R108" i="1"/>
  <c r="M109" i="1"/>
  <c r="N109" i="1"/>
  <c r="O109" i="1"/>
  <c r="P109" i="1"/>
  <c r="Q109" i="1"/>
  <c r="R109" i="1"/>
  <c r="M110" i="1"/>
  <c r="N110" i="1"/>
  <c r="O110" i="1"/>
  <c r="P110" i="1"/>
  <c r="Q110" i="1"/>
  <c r="R110" i="1"/>
  <c r="M111" i="1"/>
  <c r="N111" i="1"/>
  <c r="O111" i="1"/>
  <c r="P111" i="1"/>
  <c r="Q111" i="1"/>
  <c r="R111" i="1"/>
  <c r="M112" i="1"/>
  <c r="N112" i="1"/>
  <c r="O112" i="1"/>
  <c r="P112" i="1"/>
  <c r="Q112" i="1"/>
  <c r="R112" i="1"/>
  <c r="M113" i="1"/>
  <c r="N113" i="1"/>
  <c r="O113" i="1"/>
  <c r="P113" i="1"/>
  <c r="Q113" i="1"/>
  <c r="R113" i="1"/>
  <c r="M114" i="1"/>
  <c r="N114" i="1"/>
  <c r="O114" i="1"/>
  <c r="P114" i="1"/>
  <c r="Q114" i="1"/>
  <c r="R114" i="1"/>
  <c r="M115" i="1"/>
  <c r="N115" i="1"/>
  <c r="O115" i="1"/>
  <c r="P115" i="1"/>
  <c r="Q115" i="1"/>
  <c r="R115" i="1"/>
  <c r="M116" i="1"/>
  <c r="N116" i="1"/>
  <c r="O116" i="1"/>
  <c r="P116" i="1"/>
  <c r="Q116" i="1"/>
  <c r="R116" i="1"/>
  <c r="M117" i="1"/>
  <c r="N117" i="1"/>
  <c r="O117" i="1"/>
  <c r="P117" i="1"/>
  <c r="Q117" i="1"/>
  <c r="R117" i="1"/>
  <c r="M118" i="1"/>
  <c r="N118" i="1"/>
  <c r="O118" i="1"/>
  <c r="P118" i="1"/>
  <c r="Q118" i="1"/>
  <c r="R118" i="1"/>
  <c r="M119" i="1"/>
  <c r="N119" i="1"/>
  <c r="O119" i="1"/>
  <c r="P119" i="1"/>
  <c r="Q119" i="1"/>
  <c r="R119" i="1"/>
  <c r="M120" i="1"/>
  <c r="N120" i="1"/>
  <c r="O120" i="1"/>
  <c r="P120" i="1"/>
  <c r="Q120" i="1"/>
  <c r="R120" i="1"/>
  <c r="M121" i="1"/>
  <c r="N121" i="1"/>
  <c r="O121" i="1"/>
  <c r="P121" i="1"/>
  <c r="Q121" i="1"/>
  <c r="R121" i="1"/>
  <c r="M122" i="1"/>
  <c r="N122" i="1"/>
  <c r="O122" i="1"/>
  <c r="P122" i="1"/>
  <c r="Q122" i="1"/>
  <c r="R122" i="1"/>
  <c r="M123" i="1"/>
  <c r="N123" i="1"/>
  <c r="O123" i="1"/>
  <c r="P123" i="1"/>
  <c r="Q123" i="1"/>
  <c r="R123" i="1"/>
  <c r="M124" i="1"/>
  <c r="N124" i="1"/>
  <c r="O124" i="1"/>
  <c r="P124" i="1"/>
  <c r="Q124" i="1"/>
  <c r="R124" i="1"/>
  <c r="M125" i="1"/>
  <c r="N125" i="1"/>
  <c r="O125" i="1"/>
  <c r="P125" i="1"/>
  <c r="Q125" i="1"/>
  <c r="R125" i="1"/>
  <c r="M126" i="1"/>
  <c r="N126" i="1"/>
  <c r="O126" i="1"/>
  <c r="P126" i="1"/>
  <c r="Q126" i="1"/>
  <c r="R126" i="1"/>
  <c r="M127" i="1"/>
  <c r="N127" i="1"/>
  <c r="O127" i="1"/>
  <c r="P127" i="1"/>
  <c r="Q127" i="1"/>
  <c r="R127" i="1"/>
  <c r="M128" i="1"/>
  <c r="N128" i="1"/>
  <c r="O128" i="1"/>
  <c r="P128" i="1"/>
  <c r="Q128" i="1"/>
  <c r="R128" i="1"/>
  <c r="M129" i="1"/>
  <c r="N129" i="1"/>
  <c r="O129" i="1"/>
  <c r="P129" i="1"/>
  <c r="Q129" i="1"/>
  <c r="R129" i="1"/>
  <c r="M130" i="1"/>
  <c r="N130" i="1"/>
  <c r="O130" i="1"/>
  <c r="P130" i="1"/>
  <c r="Q130" i="1"/>
  <c r="R130" i="1"/>
  <c r="M131" i="1"/>
  <c r="N131" i="1"/>
  <c r="O131" i="1"/>
  <c r="P131" i="1"/>
  <c r="Q131" i="1"/>
  <c r="R131" i="1"/>
  <c r="M132" i="1"/>
  <c r="N132" i="1"/>
  <c r="O132" i="1"/>
  <c r="P132" i="1"/>
  <c r="Q132" i="1"/>
  <c r="R132" i="1"/>
  <c r="M133" i="1"/>
  <c r="N133" i="1"/>
  <c r="O133" i="1"/>
  <c r="P133" i="1"/>
  <c r="Q133" i="1"/>
  <c r="R133" i="1"/>
  <c r="M134" i="1"/>
  <c r="N134" i="1"/>
  <c r="O134" i="1"/>
  <c r="P134" i="1"/>
  <c r="Q134" i="1"/>
  <c r="R134" i="1"/>
  <c r="M135" i="1"/>
  <c r="N135" i="1"/>
  <c r="O135" i="1"/>
  <c r="P135" i="1"/>
  <c r="Q135" i="1"/>
  <c r="R135" i="1"/>
  <c r="M136" i="1"/>
  <c r="N136" i="1"/>
  <c r="O136" i="1"/>
  <c r="P136" i="1"/>
  <c r="Q136" i="1"/>
  <c r="R136" i="1"/>
  <c r="M137" i="1"/>
  <c r="N137" i="1"/>
  <c r="O137" i="1"/>
  <c r="P137" i="1"/>
  <c r="Q137" i="1"/>
  <c r="R137" i="1"/>
  <c r="M138" i="1"/>
  <c r="N138" i="1"/>
  <c r="O138" i="1"/>
  <c r="P138" i="1"/>
  <c r="Q138" i="1"/>
  <c r="R138" i="1"/>
  <c r="M139" i="1"/>
  <c r="N139" i="1"/>
  <c r="O139" i="1"/>
  <c r="P139" i="1"/>
  <c r="Q139" i="1"/>
  <c r="R139" i="1"/>
  <c r="M140" i="1"/>
  <c r="N140" i="1"/>
  <c r="O140" i="1"/>
  <c r="P140" i="1"/>
  <c r="Q140" i="1"/>
  <c r="R140" i="1"/>
  <c r="M141" i="1"/>
  <c r="N141" i="1"/>
  <c r="O141" i="1"/>
  <c r="P141" i="1"/>
  <c r="Q141" i="1"/>
  <c r="R141" i="1"/>
  <c r="M142" i="1"/>
  <c r="N142" i="1"/>
  <c r="O142" i="1"/>
  <c r="P142" i="1"/>
  <c r="Q142" i="1"/>
  <c r="R142" i="1"/>
  <c r="M143" i="1"/>
  <c r="N143" i="1"/>
  <c r="O143" i="1"/>
  <c r="P143" i="1"/>
  <c r="Q143" i="1"/>
  <c r="R143" i="1"/>
  <c r="M144" i="1"/>
  <c r="N144" i="1"/>
  <c r="O144" i="1"/>
  <c r="P144" i="1"/>
  <c r="Q144" i="1"/>
  <c r="R144" i="1"/>
  <c r="M145" i="1"/>
  <c r="N145" i="1"/>
  <c r="O145" i="1"/>
  <c r="P145" i="1"/>
  <c r="Q145" i="1"/>
  <c r="R145" i="1"/>
  <c r="M146" i="1"/>
  <c r="N146" i="1"/>
  <c r="O146" i="1"/>
  <c r="P146" i="1"/>
  <c r="Q146" i="1"/>
  <c r="R146" i="1"/>
  <c r="M147" i="1"/>
  <c r="N147" i="1"/>
  <c r="O147" i="1"/>
  <c r="P147" i="1"/>
  <c r="Q147" i="1"/>
  <c r="R147" i="1"/>
  <c r="M148" i="1"/>
  <c r="N148" i="1"/>
  <c r="O148" i="1"/>
  <c r="P148" i="1"/>
  <c r="Q148" i="1"/>
  <c r="R148" i="1"/>
  <c r="M149" i="1"/>
  <c r="N149" i="1"/>
  <c r="O149" i="1"/>
  <c r="P149" i="1"/>
  <c r="Q149" i="1"/>
  <c r="R149" i="1"/>
  <c r="M150" i="1"/>
  <c r="N150" i="1"/>
  <c r="O150" i="1"/>
  <c r="P150" i="1"/>
  <c r="Q150" i="1"/>
  <c r="R150" i="1"/>
  <c r="M151" i="1"/>
  <c r="N151" i="1"/>
  <c r="O151" i="1"/>
  <c r="P151" i="1"/>
  <c r="Q151" i="1"/>
  <c r="R151" i="1"/>
  <c r="M152" i="1"/>
  <c r="N152" i="1"/>
  <c r="O152" i="1"/>
  <c r="P152" i="1"/>
  <c r="Q152" i="1"/>
  <c r="R152" i="1"/>
  <c r="M153" i="1"/>
  <c r="N153" i="1"/>
  <c r="O153" i="1"/>
  <c r="P153" i="1"/>
  <c r="Q153" i="1"/>
  <c r="R153" i="1"/>
  <c r="M154" i="1"/>
  <c r="N154" i="1"/>
  <c r="O154" i="1"/>
  <c r="P154" i="1"/>
  <c r="Q154" i="1"/>
  <c r="R154" i="1"/>
  <c r="M155" i="1"/>
  <c r="N155" i="1"/>
  <c r="O155" i="1"/>
  <c r="P155" i="1"/>
  <c r="Q155" i="1"/>
  <c r="R155" i="1"/>
  <c r="M156" i="1"/>
  <c r="N156" i="1"/>
  <c r="O156" i="1"/>
  <c r="P156" i="1"/>
  <c r="Q156" i="1"/>
  <c r="R156" i="1"/>
  <c r="M157" i="1"/>
  <c r="N157" i="1"/>
  <c r="O157" i="1"/>
  <c r="P157" i="1"/>
  <c r="Q157" i="1"/>
  <c r="R157" i="1"/>
  <c r="M158" i="1"/>
  <c r="N158" i="1"/>
  <c r="O158" i="1"/>
  <c r="P158" i="1"/>
  <c r="Q158" i="1"/>
  <c r="R158" i="1"/>
  <c r="M159" i="1"/>
  <c r="N159" i="1"/>
  <c r="O159" i="1"/>
  <c r="P159" i="1"/>
  <c r="Q159" i="1"/>
  <c r="R159" i="1"/>
  <c r="M160" i="1"/>
  <c r="N160" i="1"/>
  <c r="O160" i="1"/>
  <c r="P160" i="1"/>
  <c r="Q160" i="1"/>
  <c r="R160" i="1"/>
  <c r="M161" i="1"/>
  <c r="N161" i="1"/>
  <c r="O161" i="1"/>
  <c r="P161" i="1"/>
  <c r="Q161" i="1"/>
  <c r="R161" i="1"/>
  <c r="M162" i="1"/>
  <c r="N162" i="1"/>
  <c r="O162" i="1"/>
  <c r="P162" i="1"/>
  <c r="Q162" i="1"/>
  <c r="R162" i="1"/>
  <c r="M163" i="1"/>
  <c r="N163" i="1"/>
  <c r="O163" i="1"/>
  <c r="P163" i="1"/>
  <c r="Q163" i="1"/>
  <c r="R163" i="1"/>
  <c r="M164" i="1"/>
  <c r="N164" i="1"/>
  <c r="O164" i="1"/>
  <c r="P164" i="1"/>
  <c r="Q164" i="1"/>
  <c r="R164" i="1"/>
  <c r="M165" i="1"/>
  <c r="N165" i="1"/>
  <c r="O165" i="1"/>
  <c r="P165" i="1"/>
  <c r="Q165" i="1"/>
  <c r="R165" i="1"/>
  <c r="M166" i="1"/>
  <c r="N166" i="1"/>
  <c r="O166" i="1"/>
  <c r="P166" i="1"/>
  <c r="Q166" i="1"/>
  <c r="R166" i="1"/>
  <c r="M167" i="1"/>
  <c r="N167" i="1"/>
  <c r="O167" i="1"/>
  <c r="P167" i="1"/>
  <c r="Q167" i="1"/>
  <c r="R167" i="1"/>
  <c r="M168" i="1"/>
  <c r="N168" i="1"/>
  <c r="O168" i="1"/>
  <c r="P168" i="1"/>
  <c r="Q168" i="1"/>
  <c r="R168" i="1"/>
  <c r="M169" i="1"/>
  <c r="N169" i="1"/>
  <c r="O169" i="1"/>
  <c r="P169" i="1"/>
  <c r="Q169" i="1"/>
  <c r="R169" i="1"/>
  <c r="M170" i="1"/>
  <c r="N170" i="1"/>
  <c r="O170" i="1"/>
  <c r="P170" i="1"/>
  <c r="Q170" i="1"/>
  <c r="R170" i="1"/>
  <c r="N2" i="1"/>
  <c r="O2" i="1"/>
  <c r="P2" i="1"/>
  <c r="E5" i="2" s="1"/>
  <c r="Q2" i="1"/>
  <c r="R2" i="1"/>
  <c r="M2" i="1"/>
  <c r="B2" i="2" s="1"/>
  <c r="A13" i="2" a="1"/>
  <c r="G7" i="2" l="1"/>
  <c r="G2" i="2"/>
  <c r="F2" i="2"/>
  <c r="G3" i="2"/>
  <c r="F4" i="2"/>
  <c r="F5" i="2"/>
  <c r="F6" i="2"/>
  <c r="D2" i="2"/>
  <c r="F3" i="2"/>
  <c r="E4" i="2"/>
  <c r="C3" i="2"/>
  <c r="C2" i="2"/>
  <c r="E3" i="2"/>
  <c r="D4" i="2"/>
  <c r="A13" i="2"/>
  <c r="E13" i="2"/>
  <c r="B14" i="2"/>
  <c r="H8" i="3" s="1"/>
  <c r="F14" i="2"/>
  <c r="C15" i="2"/>
  <c r="I9" i="3" s="1"/>
  <c r="G15" i="2"/>
  <c r="D16" i="2"/>
  <c r="A17" i="2"/>
  <c r="M27" i="2" s="1"/>
  <c r="E17" i="2"/>
  <c r="B18" i="2"/>
  <c r="H12" i="3" s="1"/>
  <c r="F18" i="2"/>
  <c r="B13" i="2"/>
  <c r="F13" i="2"/>
  <c r="C14" i="2"/>
  <c r="I8" i="3" s="1"/>
  <c r="G14" i="2"/>
  <c r="D15" i="2"/>
  <c r="A16" i="2"/>
  <c r="M26" i="2" s="1"/>
  <c r="E16" i="2"/>
  <c r="B17" i="2"/>
  <c r="H11" i="3" s="1"/>
  <c r="C18" i="2"/>
  <c r="I12" i="3" s="1"/>
  <c r="C13" i="2"/>
  <c r="I7" i="3" s="1"/>
  <c r="G13" i="2"/>
  <c r="D14" i="2"/>
  <c r="A15" i="2"/>
  <c r="M25" i="2" s="1"/>
  <c r="E15" i="2"/>
  <c r="B16" i="2"/>
  <c r="H10" i="3" s="1"/>
  <c r="F16" i="2"/>
  <c r="C17" i="2"/>
  <c r="I11" i="3" s="1"/>
  <c r="G17" i="2"/>
  <c r="D18" i="2"/>
  <c r="D13" i="2"/>
  <c r="A14" i="2"/>
  <c r="M24" i="2" s="1"/>
  <c r="E14" i="2"/>
  <c r="B15" i="2"/>
  <c r="H9" i="3" s="1"/>
  <c r="F15" i="2"/>
  <c r="C16" i="2"/>
  <c r="I10" i="3" s="1"/>
  <c r="G16" i="2"/>
  <c r="D17" i="2"/>
  <c r="A18" i="2"/>
  <c r="M28" i="2" s="1"/>
  <c r="E18" i="2"/>
  <c r="F17" i="2"/>
  <c r="G18" i="2"/>
  <c r="B9" i="2" l="1"/>
  <c r="K35" i="2"/>
  <c r="M23" i="2"/>
  <c r="K32" i="2" s="1"/>
  <c r="C9" i="2"/>
  <c r="K33" i="2"/>
  <c r="K34" i="2"/>
  <c r="H7" i="3"/>
  <c r="K36" i="2"/>
  <c r="K37" i="2"/>
  <c r="N2" i="3" l="1" a="1"/>
  <c r="H14" i="3"/>
  <c r="L33" i="2"/>
  <c r="L36" i="2"/>
  <c r="L37" i="2"/>
  <c r="L35" i="2"/>
  <c r="L32" i="2"/>
  <c r="L34" i="2"/>
  <c r="K23" i="2" l="1"/>
  <c r="K24" i="2"/>
  <c r="L43" i="2"/>
  <c r="L25" i="2"/>
  <c r="N25" i="2" s="1"/>
  <c r="K42" i="2"/>
  <c r="L24" i="2"/>
  <c r="N24" i="2" s="1"/>
  <c r="N51" i="2"/>
  <c r="N53" i="2"/>
  <c r="N52" i="2"/>
  <c r="N55" i="2"/>
  <c r="N50" i="2"/>
  <c r="N54" i="2"/>
  <c r="N2" i="3"/>
  <c r="R11" i="3"/>
  <c r="O21" i="3"/>
  <c r="Q30" i="3"/>
  <c r="N40" i="3"/>
  <c r="R49" i="3"/>
  <c r="S58" i="3"/>
  <c r="N66" i="3"/>
  <c r="O73" i="3"/>
  <c r="O80" i="3"/>
  <c r="P87" i="3"/>
  <c r="Q94" i="3"/>
  <c r="Q101" i="3"/>
  <c r="R108" i="3"/>
  <c r="S115" i="3"/>
  <c r="S122" i="3"/>
  <c r="S129" i="3"/>
  <c r="O135" i="3"/>
  <c r="Q140" i="3"/>
  <c r="R145" i="3"/>
  <c r="O149" i="3"/>
  <c r="S152" i="3"/>
  <c r="O155" i="3"/>
  <c r="N157" i="3"/>
  <c r="S158" i="3"/>
  <c r="Q160" i="3"/>
  <c r="P162" i="3"/>
  <c r="O164" i="3"/>
  <c r="S165" i="3"/>
  <c r="R167" i="3"/>
  <c r="Q169" i="3"/>
  <c r="Q4" i="3"/>
  <c r="N14" i="3"/>
  <c r="P23" i="3"/>
  <c r="N33" i="3"/>
  <c r="Q42" i="3"/>
  <c r="S51" i="3"/>
  <c r="R60" i="3"/>
  <c r="S67" i="3"/>
  <c r="S74" i="3"/>
  <c r="N82" i="3"/>
  <c r="O89" i="3"/>
  <c r="O96" i="3"/>
  <c r="P103" i="3"/>
  <c r="Q110" i="3"/>
  <c r="Q117" i="3"/>
  <c r="R124" i="3"/>
  <c r="O131" i="3"/>
  <c r="Q136" i="3"/>
  <c r="S141" i="3"/>
  <c r="Q146" i="3"/>
  <c r="O150" i="3"/>
  <c r="R153" i="3"/>
  <c r="Q155" i="3"/>
  <c r="O157" i="3"/>
  <c r="N159" i="3"/>
  <c r="S160" i="3"/>
  <c r="Q162" i="3"/>
  <c r="P164" i="3"/>
  <c r="O166" i="3"/>
  <c r="S167" i="3"/>
  <c r="R169" i="3"/>
  <c r="N7" i="3"/>
  <c r="P16" i="3"/>
  <c r="S25" i="3"/>
  <c r="P35" i="3"/>
  <c r="R44" i="3"/>
  <c r="P54" i="3"/>
  <c r="Q62" i="3"/>
  <c r="Q69" i="3"/>
  <c r="R76" i="3"/>
  <c r="S83" i="3"/>
  <c r="S90" i="3"/>
  <c r="N98" i="3"/>
  <c r="O105" i="3"/>
  <c r="O112" i="3"/>
  <c r="P119" i="3"/>
  <c r="Q126" i="3"/>
  <c r="Q132" i="3"/>
  <c r="S137" i="3"/>
  <c r="O143" i="3"/>
  <c r="Q147" i="3"/>
  <c r="N151" i="3"/>
  <c r="P154" i="3"/>
  <c r="O156" i="3"/>
  <c r="S157" i="3"/>
  <c r="R159" i="3"/>
  <c r="Q161" i="3"/>
  <c r="O163" i="3"/>
  <c r="N165" i="3"/>
  <c r="S166" i="3"/>
  <c r="Q168" i="3"/>
  <c r="P170" i="3"/>
  <c r="O9" i="3"/>
  <c r="R18" i="3"/>
  <c r="P28" i="3"/>
  <c r="R37" i="3"/>
  <c r="O47" i="3"/>
  <c r="R56" i="3"/>
  <c r="O64" i="3"/>
  <c r="P71" i="3"/>
  <c r="Q78" i="3"/>
  <c r="Q85" i="3"/>
  <c r="R92" i="3"/>
  <c r="S99" i="3"/>
  <c r="S106" i="3"/>
  <c r="N114" i="3"/>
  <c r="O121" i="3"/>
  <c r="O128" i="3"/>
  <c r="S133" i="3"/>
  <c r="O139" i="3"/>
  <c r="Q144" i="3"/>
  <c r="P148" i="3"/>
  <c r="S151" i="3"/>
  <c r="Q154" i="3"/>
  <c r="P156" i="3"/>
  <c r="O158" i="3"/>
  <c r="S159" i="3"/>
  <c r="R161" i="3"/>
  <c r="Q163" i="3"/>
  <c r="O165" i="3"/>
  <c r="N167" i="3"/>
  <c r="S168" i="3"/>
  <c r="Q170" i="3"/>
  <c r="O2" i="3"/>
  <c r="S4" i="3"/>
  <c r="Q7" i="3"/>
  <c r="O10" i="3"/>
  <c r="S12" i="3"/>
  <c r="Q15" i="3"/>
  <c r="O18" i="3"/>
  <c r="S20" i="3"/>
  <c r="Q23" i="3"/>
  <c r="O26" i="3"/>
  <c r="S28" i="3"/>
  <c r="Q31" i="3"/>
  <c r="O34" i="3"/>
  <c r="S36" i="3"/>
  <c r="Q39" i="3"/>
  <c r="O42" i="3"/>
  <c r="S44" i="3"/>
  <c r="Q47" i="3"/>
  <c r="O50" i="3"/>
  <c r="S52" i="3"/>
  <c r="Q55" i="3"/>
  <c r="O58" i="3"/>
  <c r="N5" i="3"/>
  <c r="Q8" i="3"/>
  <c r="N12" i="3"/>
  <c r="R15" i="3"/>
  <c r="O19" i="3"/>
  <c r="R22" i="3"/>
  <c r="P26" i="3"/>
  <c r="S29" i="3"/>
  <c r="P33" i="3"/>
  <c r="N37" i="3"/>
  <c r="Q40" i="3"/>
  <c r="N44" i="3"/>
  <c r="R47" i="3"/>
  <c r="O51" i="3"/>
  <c r="R54" i="3"/>
  <c r="P58" i="3"/>
  <c r="N61" i="3"/>
  <c r="R63" i="3"/>
  <c r="P66" i="3"/>
  <c r="N69" i="3"/>
  <c r="R71" i="3"/>
  <c r="P74" i="3"/>
  <c r="N77" i="3"/>
  <c r="R79" i="3"/>
  <c r="P82" i="3"/>
  <c r="N85" i="3"/>
  <c r="R87" i="3"/>
  <c r="P90" i="3"/>
  <c r="N93" i="3"/>
  <c r="R95" i="3"/>
  <c r="P98" i="3"/>
  <c r="N101" i="3"/>
  <c r="R103" i="3"/>
  <c r="P106" i="3"/>
  <c r="N109" i="3"/>
  <c r="R111" i="3"/>
  <c r="P114" i="3"/>
  <c r="N117" i="3"/>
  <c r="R119" i="3"/>
  <c r="P122" i="3"/>
  <c r="N125" i="3"/>
  <c r="R127" i="3"/>
  <c r="R3" i="3"/>
  <c r="P8" i="3"/>
  <c r="O13" i="3"/>
  <c r="S17" i="3"/>
  <c r="Q22" i="3"/>
  <c r="P27" i="3"/>
  <c r="N32" i="3"/>
  <c r="R36" i="3"/>
  <c r="R41" i="3"/>
  <c r="P46" i="3"/>
  <c r="N51" i="3"/>
  <c r="S55" i="3"/>
  <c r="N60" i="3"/>
  <c r="Q63" i="3"/>
  <c r="O67" i="3"/>
  <c r="R70" i="3"/>
  <c r="O74" i="3"/>
  <c r="S77" i="3"/>
  <c r="P81" i="3"/>
  <c r="S84" i="3"/>
  <c r="Q88" i="3"/>
  <c r="S2" i="3"/>
  <c r="Q5" i="3"/>
  <c r="O8" i="3"/>
  <c r="S10" i="3"/>
  <c r="Q13" i="3"/>
  <c r="O16" i="3"/>
  <c r="S18" i="3"/>
  <c r="Q21" i="3"/>
  <c r="O24" i="3"/>
  <c r="S26" i="3"/>
  <c r="Q29" i="3"/>
  <c r="O32" i="3"/>
  <c r="S34" i="3"/>
  <c r="Q37" i="3"/>
  <c r="O40" i="3"/>
  <c r="S42" i="3"/>
  <c r="Q45" i="3"/>
  <c r="O48" i="3"/>
  <c r="S50" i="3"/>
  <c r="Q53" i="3"/>
  <c r="O56" i="3"/>
  <c r="P2" i="3"/>
  <c r="S5" i="3"/>
  <c r="P9" i="3"/>
  <c r="N13" i="3"/>
  <c r="Q16" i="3"/>
  <c r="N20" i="3"/>
  <c r="R23" i="3"/>
  <c r="O27" i="3"/>
  <c r="R30" i="3"/>
  <c r="P34" i="3"/>
  <c r="S37" i="3"/>
  <c r="P41" i="3"/>
  <c r="N45" i="3"/>
  <c r="Q48" i="3"/>
  <c r="N52" i="3"/>
  <c r="R55" i="3"/>
  <c r="N59" i="3"/>
  <c r="R61" i="3"/>
  <c r="P64" i="3"/>
  <c r="N67" i="3"/>
  <c r="R69" i="3"/>
  <c r="P72" i="3"/>
  <c r="N75" i="3"/>
  <c r="R77" i="3"/>
  <c r="P80" i="3"/>
  <c r="N83" i="3"/>
  <c r="R85" i="3"/>
  <c r="P88" i="3"/>
  <c r="N91" i="3"/>
  <c r="R93" i="3"/>
  <c r="P96" i="3"/>
  <c r="N99" i="3"/>
  <c r="R101" i="3"/>
  <c r="P104" i="3"/>
  <c r="N107" i="3"/>
  <c r="R109" i="3"/>
  <c r="P112" i="3"/>
  <c r="N115" i="3"/>
  <c r="R117" i="3"/>
  <c r="P120" i="3"/>
  <c r="N123" i="3"/>
  <c r="R125" i="3"/>
  <c r="P128" i="3"/>
  <c r="R4" i="3"/>
  <c r="R9" i="3"/>
  <c r="P14" i="3"/>
  <c r="N19" i="3"/>
  <c r="S23" i="3"/>
  <c r="Q28" i="3"/>
  <c r="O33" i="3"/>
  <c r="N38" i="3"/>
  <c r="R42" i="3"/>
  <c r="P47" i="3"/>
  <c r="P52" i="3"/>
  <c r="N57" i="3"/>
  <c r="S60" i="3"/>
  <c r="Q64" i="3"/>
  <c r="N68" i="3"/>
  <c r="Q71" i="3"/>
  <c r="O75" i="3"/>
  <c r="R78" i="3"/>
  <c r="O82" i="3"/>
  <c r="S85" i="3"/>
  <c r="P89" i="3"/>
  <c r="Q3" i="3"/>
  <c r="S8" i="3"/>
  <c r="O14" i="3"/>
  <c r="Q19" i="3"/>
  <c r="S24" i="3"/>
  <c r="O30" i="3"/>
  <c r="Q35" i="3"/>
  <c r="S40" i="3"/>
  <c r="O46" i="3"/>
  <c r="Q51" i="3"/>
  <c r="S56" i="3"/>
  <c r="R6" i="3"/>
  <c r="S13" i="3"/>
  <c r="N21" i="3"/>
  <c r="N28" i="3"/>
  <c r="O35" i="3"/>
  <c r="P42" i="3"/>
  <c r="P49" i="3"/>
  <c r="Q56" i="3"/>
  <c r="P62" i="3"/>
  <c r="R67" i="3"/>
  <c r="N73" i="3"/>
  <c r="P78" i="3"/>
  <c r="R83" i="3"/>
  <c r="N89" i="3"/>
  <c r="P94" i="3"/>
  <c r="R99" i="3"/>
  <c r="N105" i="3"/>
  <c r="P110" i="3"/>
  <c r="R115" i="3"/>
  <c r="N121" i="3"/>
  <c r="P126" i="3"/>
  <c r="N6" i="3"/>
  <c r="P15" i="3"/>
  <c r="N25" i="3"/>
  <c r="Q34" i="3"/>
  <c r="S43" i="3"/>
  <c r="P53" i="3"/>
  <c r="S61" i="3"/>
  <c r="S68" i="3"/>
  <c r="N76" i="3"/>
  <c r="O83" i="3"/>
  <c r="O90" i="3"/>
  <c r="S93" i="3"/>
  <c r="P97" i="3"/>
  <c r="S100" i="3"/>
  <c r="Q104" i="3"/>
  <c r="N108" i="3"/>
  <c r="Q111" i="3"/>
  <c r="O115" i="3"/>
  <c r="R118" i="3"/>
  <c r="O122" i="3"/>
  <c r="S125" i="3"/>
  <c r="P129" i="3"/>
  <c r="N132" i="3"/>
  <c r="R134" i="3"/>
  <c r="P137" i="3"/>
  <c r="N140" i="3"/>
  <c r="R142" i="3"/>
  <c r="P145" i="3"/>
  <c r="N148" i="3"/>
  <c r="R150" i="3"/>
  <c r="P153" i="3"/>
  <c r="N156" i="3"/>
  <c r="R158" i="3"/>
  <c r="P161" i="3"/>
  <c r="N164" i="3"/>
  <c r="R166" i="3"/>
  <c r="P169" i="3"/>
  <c r="S3" i="3"/>
  <c r="R8" i="3"/>
  <c r="P13" i="3"/>
  <c r="N18" i="3"/>
  <c r="N23" i="3"/>
  <c r="R27" i="3"/>
  <c r="P32" i="3"/>
  <c r="O37" i="3"/>
  <c r="S41" i="3"/>
  <c r="Q46" i="3"/>
  <c r="P51" i="3"/>
  <c r="N56" i="3"/>
  <c r="O60" i="3"/>
  <c r="S63" i="3"/>
  <c r="P67" i="3"/>
  <c r="S70" i="3"/>
  <c r="O6" i="3"/>
  <c r="Q11" i="3"/>
  <c r="S16" i="3"/>
  <c r="O22" i="3"/>
  <c r="Q27" i="3"/>
  <c r="S32" i="3"/>
  <c r="O38" i="3"/>
  <c r="Q43" i="3"/>
  <c r="S48" i="3"/>
  <c r="O54" i="3"/>
  <c r="O3" i="3"/>
  <c r="P10" i="3"/>
  <c r="P17" i="3"/>
  <c r="Q24" i="3"/>
  <c r="R31" i="3"/>
  <c r="R38" i="3"/>
  <c r="S45" i="3"/>
  <c r="N53" i="3"/>
  <c r="R59" i="3"/>
  <c r="N65" i="3"/>
  <c r="P70" i="3"/>
  <c r="R75" i="3"/>
  <c r="N81" i="3"/>
  <c r="P86" i="3"/>
  <c r="R91" i="3"/>
  <c r="N97" i="3"/>
  <c r="P102" i="3"/>
  <c r="R107" i="3"/>
  <c r="N113" i="3"/>
  <c r="P118" i="3"/>
  <c r="R123" i="3"/>
  <c r="N129" i="3"/>
  <c r="R10" i="3"/>
  <c r="P20" i="3"/>
  <c r="R29" i="3"/>
  <c r="O39" i="3"/>
  <c r="R48" i="3"/>
  <c r="N58" i="3"/>
  <c r="P65" i="3"/>
  <c r="Q72" i="3"/>
  <c r="Q79" i="3"/>
  <c r="R86" i="3"/>
  <c r="N92" i="3"/>
  <c r="Q95" i="3"/>
  <c r="O99" i="3"/>
  <c r="R102" i="3"/>
  <c r="O106" i="3"/>
  <c r="S109" i="3"/>
  <c r="P113" i="3"/>
  <c r="S116" i="3"/>
  <c r="Q120" i="3"/>
  <c r="N124" i="3"/>
  <c r="Q127" i="3"/>
  <c r="R130" i="3"/>
  <c r="P133" i="3"/>
  <c r="N136" i="3"/>
  <c r="R138" i="3"/>
  <c r="P141" i="3"/>
  <c r="N144" i="3"/>
  <c r="R146" i="3"/>
  <c r="P149" i="3"/>
  <c r="N152" i="3"/>
  <c r="R154" i="3"/>
  <c r="P157" i="3"/>
  <c r="N160" i="3"/>
  <c r="R162" i="3"/>
  <c r="P165" i="3"/>
  <c r="N168" i="3"/>
  <c r="R170" i="3"/>
  <c r="P6" i="3"/>
  <c r="N11" i="3"/>
  <c r="S15" i="3"/>
  <c r="Q20" i="3"/>
  <c r="O25" i="3"/>
  <c r="N30" i="3"/>
  <c r="R34" i="3"/>
  <c r="P39" i="3"/>
  <c r="P44" i="3"/>
  <c r="N49" i="3"/>
  <c r="R53" i="3"/>
  <c r="Q58" i="3"/>
  <c r="N62" i="3"/>
  <c r="Q65" i="3"/>
  <c r="O69" i="3"/>
  <c r="R72" i="3"/>
  <c r="Q9" i="3"/>
  <c r="O20" i="3"/>
  <c r="S30" i="3"/>
  <c r="Q41" i="3"/>
  <c r="O52" i="3"/>
  <c r="R7" i="3"/>
  <c r="S21" i="3"/>
  <c r="N36" i="3"/>
  <c r="P50" i="3"/>
  <c r="N63" i="3"/>
  <c r="R73" i="3"/>
  <c r="P84" i="3"/>
  <c r="N95" i="3"/>
  <c r="R105" i="3"/>
  <c r="P116" i="3"/>
  <c r="N127" i="3"/>
  <c r="R16" i="3"/>
  <c r="R35" i="3"/>
  <c r="Q54" i="3"/>
  <c r="S69" i="3"/>
  <c r="N84" i="3"/>
  <c r="R94" i="3"/>
  <c r="S101" i="3"/>
  <c r="S108" i="3"/>
  <c r="N116" i="3"/>
  <c r="O123" i="3"/>
  <c r="N130" i="3"/>
  <c r="P135" i="3"/>
  <c r="R140" i="3"/>
  <c r="N146" i="3"/>
  <c r="P151" i="3"/>
  <c r="R156" i="3"/>
  <c r="N162" i="3"/>
  <c r="P167" i="3"/>
  <c r="O5" i="3"/>
  <c r="Q14" i="3"/>
  <c r="N24" i="3"/>
  <c r="R33" i="3"/>
  <c r="N43" i="3"/>
  <c r="Q52" i="3"/>
  <c r="O61" i="3"/>
  <c r="O68" i="3"/>
  <c r="Q74" i="3"/>
  <c r="N78" i="3"/>
  <c r="Q81" i="3"/>
  <c r="O85" i="3"/>
  <c r="R88" i="3"/>
  <c r="O92" i="3"/>
  <c r="S95" i="3"/>
  <c r="P99" i="3"/>
  <c r="S102" i="3"/>
  <c r="Q106" i="3"/>
  <c r="N110" i="3"/>
  <c r="Q113" i="3"/>
  <c r="O117" i="3"/>
  <c r="R120" i="3"/>
  <c r="O124" i="3"/>
  <c r="S127" i="3"/>
  <c r="S130" i="3"/>
  <c r="Q133" i="3"/>
  <c r="O136" i="3"/>
  <c r="S138" i="3"/>
  <c r="Q141" i="3"/>
  <c r="O144" i="3"/>
  <c r="P168" i="3"/>
  <c r="S164" i="3"/>
  <c r="O161" i="3"/>
  <c r="R157" i="3"/>
  <c r="O154" i="3"/>
  <c r="Q150" i="3"/>
  <c r="N147" i="3"/>
  <c r="Q142" i="3"/>
  <c r="O137" i="3"/>
  <c r="S131" i="3"/>
  <c r="Q125" i="3"/>
  <c r="Q118" i="3"/>
  <c r="P111" i="3"/>
  <c r="O104" i="3"/>
  <c r="O97" i="3"/>
  <c r="N90" i="3"/>
  <c r="S82" i="3"/>
  <c r="S75" i="3"/>
  <c r="R68" i="3"/>
  <c r="Q61" i="3"/>
  <c r="O53" i="3"/>
  <c r="R43" i="3"/>
  <c r="N34" i="3"/>
  <c r="R24" i="3"/>
  <c r="O15" i="3"/>
  <c r="R5" i="3"/>
  <c r="N169" i="3"/>
  <c r="Q165" i="3"/>
  <c r="S161" i="3"/>
  <c r="P158" i="3"/>
  <c r="S154" i="3"/>
  <c r="O151" i="3"/>
  <c r="R147" i="3"/>
  <c r="R143" i="3"/>
  <c r="P138" i="3"/>
  <c r="N133" i="3"/>
  <c r="O127" i="3"/>
  <c r="N120" i="3"/>
  <c r="S112" i="3"/>
  <c r="S105" i="3"/>
  <c r="R98" i="3"/>
  <c r="Q91" i="3"/>
  <c r="Q84" i="3"/>
  <c r="P77" i="3"/>
  <c r="O70" i="3"/>
  <c r="O63" i="3"/>
  <c r="O55" i="3"/>
  <c r="R45" i="3"/>
  <c r="P36" i="3"/>
  <c r="R26" i="3"/>
  <c r="O17" i="3"/>
  <c r="S7" i="3"/>
  <c r="Q152" i="3"/>
  <c r="N149" i="3"/>
  <c r="Q145" i="3"/>
  <c r="P140" i="3"/>
  <c r="N135" i="3"/>
  <c r="R129" i="3"/>
  <c r="R122" i="3"/>
  <c r="Q115" i="3"/>
  <c r="Q108" i="3"/>
  <c r="P101" i="3"/>
  <c r="O94" i="3"/>
  <c r="O87" i="3"/>
  <c r="N80" i="3"/>
  <c r="S72" i="3"/>
  <c r="S65" i="3"/>
  <c r="R58" i="3"/>
  <c r="O49" i="3"/>
  <c r="S39" i="3"/>
  <c r="P30" i="3"/>
  <c r="R20" i="3"/>
  <c r="P11" i="3"/>
  <c r="O4" i="3"/>
  <c r="Q17" i="3"/>
  <c r="Q33" i="3"/>
  <c r="S46" i="3"/>
  <c r="N4" i="3"/>
  <c r="P25" i="3"/>
  <c r="O43" i="3"/>
  <c r="P60" i="3"/>
  <c r="P76" i="3"/>
  <c r="R89" i="3"/>
  <c r="N103" i="3"/>
  <c r="N119" i="3"/>
  <c r="O7" i="3"/>
  <c r="N31" i="3"/>
  <c r="O59" i="3"/>
  <c r="S76" i="3"/>
  <c r="S92" i="3"/>
  <c r="Q103" i="3"/>
  <c r="Q112" i="3"/>
  <c r="P121" i="3"/>
  <c r="P131" i="3"/>
  <c r="N138" i="3"/>
  <c r="R144" i="3"/>
  <c r="R152" i="3"/>
  <c r="P159" i="3"/>
  <c r="N166" i="3"/>
  <c r="P7" i="3"/>
  <c r="P19" i="3"/>
  <c r="O31" i="3"/>
  <c r="P45" i="3"/>
  <c r="O57" i="3"/>
  <c r="Q66" i="3"/>
  <c r="P75" i="3"/>
  <c r="S79" i="3"/>
  <c r="O84" i="3"/>
  <c r="Q89" i="3"/>
  <c r="N94" i="3"/>
  <c r="Q98" i="3"/>
  <c r="S103" i="3"/>
  <c r="O108" i="3"/>
  <c r="R112" i="3"/>
  <c r="N118" i="3"/>
  <c r="Q122" i="3"/>
  <c r="S126" i="3"/>
  <c r="Q131" i="3"/>
  <c r="S134" i="3"/>
  <c r="O138" i="3"/>
  <c r="O142" i="3"/>
  <c r="O170" i="3"/>
  <c r="R165" i="3"/>
  <c r="P160" i="3"/>
  <c r="S155" i="3"/>
  <c r="Q151" i="3"/>
  <c r="O146" i="3"/>
  <c r="S139" i="3"/>
  <c r="O133" i="3"/>
  <c r="S123" i="3"/>
  <c r="S114" i="3"/>
  <c r="N106" i="3"/>
  <c r="P95" i="3"/>
  <c r="Q86" i="3"/>
  <c r="Q77" i="3"/>
  <c r="S66" i="3"/>
  <c r="S57" i="3"/>
  <c r="O12" i="3"/>
  <c r="Q25" i="3"/>
  <c r="S38" i="3"/>
  <c r="S54" i="3"/>
  <c r="R14" i="3"/>
  <c r="Q32" i="3"/>
  <c r="S53" i="3"/>
  <c r="P68" i="3"/>
  <c r="R81" i="3"/>
  <c r="R97" i="3"/>
  <c r="N111" i="3"/>
  <c r="P124" i="3"/>
  <c r="P21" i="3"/>
  <c r="O45" i="3"/>
  <c r="O66" i="3"/>
  <c r="Q87" i="3"/>
  <c r="O98" i="3"/>
  <c r="O107" i="3"/>
  <c r="S117" i="3"/>
  <c r="R126" i="3"/>
  <c r="N134" i="3"/>
  <c r="N142" i="3"/>
  <c r="R148" i="3"/>
  <c r="P155" i="3"/>
  <c r="P163" i="3"/>
  <c r="N170" i="3"/>
  <c r="P12" i="3"/>
  <c r="Q26" i="3"/>
  <c r="P38" i="3"/>
  <c r="N50" i="3"/>
  <c r="S62" i="3"/>
  <c r="S71" i="3"/>
  <c r="O77" i="3"/>
  <c r="Q82" i="3"/>
  <c r="S86" i="3"/>
  <c r="P91" i="3"/>
  <c r="R96" i="3"/>
  <c r="O101" i="3"/>
  <c r="Q105" i="3"/>
  <c r="S110" i="3"/>
  <c r="P115" i="3"/>
  <c r="S119" i="3"/>
  <c r="O125" i="3"/>
  <c r="Q129" i="3"/>
  <c r="S132" i="3"/>
  <c r="S136" i="3"/>
  <c r="O140" i="3"/>
  <c r="Q143" i="3"/>
  <c r="Q167" i="3"/>
  <c r="N163" i="3"/>
  <c r="Q158" i="3"/>
  <c r="O153" i="3"/>
  <c r="S148" i="3"/>
  <c r="S143" i="3"/>
  <c r="S135" i="3"/>
  <c r="O129" i="3"/>
  <c r="O120" i="3"/>
  <c r="Q109" i="3"/>
  <c r="R100" i="3"/>
  <c r="S91" i="3"/>
  <c r="O81" i="3"/>
  <c r="O72" i="3"/>
  <c r="P63" i="3"/>
  <c r="R50" i="3"/>
  <c r="N39" i="3"/>
  <c r="N27" i="3"/>
  <c r="R12" i="3"/>
  <c r="S170" i="3"/>
  <c r="P166" i="3"/>
  <c r="N161" i="3"/>
  <c r="Q156" i="3"/>
  <c r="O152" i="3"/>
  <c r="S146" i="3"/>
  <c r="N141" i="3"/>
  <c r="P134" i="3"/>
  <c r="P125" i="3"/>
  <c r="Q116" i="3"/>
  <c r="Q107" i="3"/>
  <c r="S96" i="3"/>
  <c r="N88" i="3"/>
  <c r="O79" i="3"/>
  <c r="Q68" i="3"/>
  <c r="Q59" i="3"/>
  <c r="N48" i="3"/>
  <c r="S33" i="3"/>
  <c r="N22" i="3"/>
  <c r="N10" i="3"/>
  <c r="R151" i="3"/>
  <c r="O147" i="3"/>
  <c r="R141" i="3"/>
  <c r="R133" i="3"/>
  <c r="O126" i="3"/>
  <c r="P117" i="3"/>
  <c r="R106" i="3"/>
  <c r="S97" i="3"/>
  <c r="S88" i="3"/>
  <c r="O78" i="3"/>
  <c r="P69" i="3"/>
  <c r="Q60" i="3"/>
  <c r="N47" i="3"/>
  <c r="N35" i="3"/>
  <c r="O23" i="3"/>
  <c r="N9" i="3"/>
  <c r="S14" i="3"/>
  <c r="O28" i="3"/>
  <c r="O44" i="3"/>
  <c r="Q57" i="3"/>
  <c r="P18" i="3"/>
  <c r="R39" i="3"/>
  <c r="P57" i="3"/>
  <c r="N71" i="3"/>
  <c r="N87" i="3"/>
  <c r="P100" i="3"/>
  <c r="R113" i="3"/>
  <c r="Q2" i="3"/>
  <c r="N26" i="3"/>
  <c r="S49" i="3"/>
  <c r="P73" i="3"/>
  <c r="O91" i="3"/>
  <c r="N100" i="3"/>
  <c r="R110" i="3"/>
  <c r="Q119" i="3"/>
  <c r="Q128" i="3"/>
  <c r="R136" i="3"/>
  <c r="P143" i="3"/>
  <c r="N150" i="3"/>
  <c r="N158" i="3"/>
  <c r="R164" i="3"/>
  <c r="R2" i="3"/>
  <c r="N17" i="3"/>
  <c r="R28" i="3"/>
  <c r="R40" i="3"/>
  <c r="N55" i="3"/>
  <c r="R64" i="3"/>
  <c r="Q73" i="3"/>
  <c r="S78" i="3"/>
  <c r="P83" i="3"/>
  <c r="S87" i="3"/>
  <c r="O93" i="3"/>
  <c r="Q97" i="3"/>
  <c r="N102" i="3"/>
  <c r="P107" i="3"/>
  <c r="S111" i="3"/>
  <c r="O116" i="3"/>
  <c r="Q121" i="3"/>
  <c r="N126" i="3"/>
  <c r="O130" i="3"/>
  <c r="O134" i="3"/>
  <c r="Q137" i="3"/>
  <c r="S140" i="3"/>
  <c r="S144" i="3"/>
  <c r="Q166" i="3"/>
  <c r="O162" i="3"/>
  <c r="S156" i="3"/>
  <c r="P152" i="3"/>
  <c r="S147" i="3"/>
  <c r="O141" i="3"/>
  <c r="Q134" i="3"/>
  <c r="P127" i="3"/>
  <c r="R116" i="3"/>
  <c r="S107" i="3"/>
  <c r="S98" i="3"/>
  <c r="O88" i="3"/>
  <c r="P79" i="3"/>
  <c r="Q70" i="3"/>
  <c r="S59" i="3"/>
  <c r="P48" i="3"/>
  <c r="Q36" i="3"/>
  <c r="P22" i="3"/>
  <c r="Q10" i="3"/>
  <c r="S169" i="3"/>
  <c r="Q164" i="3"/>
  <c r="O160" i="3"/>
  <c r="R155" i="3"/>
  <c r="P150" i="3"/>
  <c r="S145" i="3"/>
  <c r="R139" i="3"/>
  <c r="R131" i="3"/>
  <c r="Q123" i="3"/>
  <c r="R114" i="3"/>
  <c r="N104" i="3"/>
  <c r="O95" i="3"/>
  <c r="O86" i="3"/>
  <c r="Q75" i="3"/>
  <c r="R66" i="3"/>
  <c r="R57" i="3"/>
  <c r="P43" i="3"/>
  <c r="P31" i="3"/>
  <c r="R19" i="3"/>
  <c r="P5" i="3"/>
  <c r="S150" i="3"/>
  <c r="P146" i="3"/>
  <c r="N139" i="3"/>
  <c r="P132" i="3"/>
  <c r="Q124" i="3"/>
  <c r="S113" i="3"/>
  <c r="S104" i="3"/>
  <c r="N96" i="3"/>
  <c r="P85" i="3"/>
  <c r="Q76" i="3"/>
  <c r="Q67" i="3"/>
  <c r="P56" i="3"/>
  <c r="Q44" i="3"/>
  <c r="R32" i="3"/>
  <c r="Q18" i="3"/>
  <c r="Q6" i="3"/>
  <c r="S6" i="3"/>
  <c r="O11" i="3"/>
  <c r="N79" i="3"/>
  <c r="S11" i="3"/>
  <c r="Q96" i="3"/>
  <c r="R132" i="3"/>
  <c r="R160" i="3"/>
  <c r="S35" i="3"/>
  <c r="O76" i="3"/>
  <c r="S94" i="3"/>
  <c r="Q114" i="3"/>
  <c r="O132" i="3"/>
  <c r="O169" i="3"/>
  <c r="R149" i="3"/>
  <c r="N122" i="3"/>
  <c r="R84" i="3"/>
  <c r="N46" i="3"/>
  <c r="S19" i="3"/>
  <c r="O168" i="3"/>
  <c r="O159" i="3"/>
  <c r="Q149" i="3"/>
  <c r="N137" i="3"/>
  <c r="S121" i="3"/>
  <c r="O102" i="3"/>
  <c r="R82" i="3"/>
  <c r="S64" i="3"/>
  <c r="N41" i="3"/>
  <c r="N15" i="3"/>
  <c r="S149" i="3"/>
  <c r="R137" i="3"/>
  <c r="S120" i="3"/>
  <c r="O103" i="3"/>
  <c r="Q83" i="3"/>
  <c r="N64" i="3"/>
  <c r="N42" i="3"/>
  <c r="N16" i="3"/>
  <c r="N29" i="3"/>
  <c r="R168" i="3"/>
  <c r="R80" i="3"/>
  <c r="Q135" i="3"/>
  <c r="O113" i="3"/>
  <c r="O41" i="3"/>
  <c r="Q157" i="3"/>
  <c r="O118" i="3"/>
  <c r="Q38" i="3"/>
  <c r="P136" i="3"/>
  <c r="S81" i="3"/>
  <c r="R13" i="3"/>
  <c r="S80" i="3"/>
  <c r="O36" i="3"/>
  <c r="R46" i="3"/>
  <c r="P108" i="3"/>
  <c r="R62" i="3"/>
  <c r="O114" i="3"/>
  <c r="P147" i="3"/>
  <c r="S9" i="3"/>
  <c r="P59" i="3"/>
  <c r="N86" i="3"/>
  <c r="R104" i="3"/>
  <c r="P123" i="3"/>
  <c r="Q139" i="3"/>
  <c r="Q159" i="3"/>
  <c r="Q138" i="3"/>
  <c r="Q102" i="3"/>
  <c r="O65" i="3"/>
  <c r="S31" i="3"/>
  <c r="N8" i="3"/>
  <c r="R163" i="3"/>
  <c r="S153" i="3"/>
  <c r="N145" i="3"/>
  <c r="P130" i="3"/>
  <c r="O111" i="3"/>
  <c r="P93" i="3"/>
  <c r="S73" i="3"/>
  <c r="R52" i="3"/>
  <c r="O29" i="3"/>
  <c r="N3" i="3"/>
  <c r="P144" i="3"/>
  <c r="N131" i="3"/>
  <c r="N112" i="3"/>
  <c r="Q92" i="3"/>
  <c r="R74" i="3"/>
  <c r="N54" i="3"/>
  <c r="S27" i="3"/>
  <c r="P4" i="3"/>
  <c r="P92" i="3"/>
  <c r="O100" i="3"/>
  <c r="O145" i="3"/>
  <c r="R17" i="3"/>
  <c r="Q148" i="3"/>
  <c r="P61" i="3"/>
  <c r="O148" i="3"/>
  <c r="Q99" i="3"/>
  <c r="P37" i="3"/>
  <c r="Q49" i="3"/>
  <c r="R65" i="3"/>
  <c r="R121" i="3"/>
  <c r="Q80" i="3"/>
  <c r="S124" i="3"/>
  <c r="N154" i="3"/>
  <c r="R21" i="3"/>
  <c r="N70" i="3"/>
  <c r="Q90" i="3"/>
  <c r="O109" i="3"/>
  <c r="R128" i="3"/>
  <c r="S142" i="3"/>
  <c r="N155" i="3"/>
  <c r="Q130" i="3"/>
  <c r="Q93" i="3"/>
  <c r="P55" i="3"/>
  <c r="P29" i="3"/>
  <c r="P3" i="3"/>
  <c r="S162" i="3"/>
  <c r="N153" i="3"/>
  <c r="P142" i="3"/>
  <c r="S128" i="3"/>
  <c r="P109" i="3"/>
  <c r="S89" i="3"/>
  <c r="N72" i="3"/>
  <c r="Q50" i="3"/>
  <c r="P24" i="3"/>
  <c r="Q153" i="3"/>
  <c r="N143" i="3"/>
  <c r="N128" i="3"/>
  <c r="O110" i="3"/>
  <c r="R90" i="3"/>
  <c r="O71" i="3"/>
  <c r="R51" i="3"/>
  <c r="R25" i="3"/>
  <c r="S22" i="3"/>
  <c r="P40" i="3"/>
  <c r="P105" i="3"/>
  <c r="P139" i="3"/>
  <c r="S47" i="3"/>
  <c r="S118" i="3"/>
  <c r="S163" i="3"/>
  <c r="N74" i="3"/>
  <c r="O167" i="3"/>
  <c r="R135" i="3"/>
  <c r="Q100" i="3"/>
  <c r="Q12" i="3"/>
  <c r="O119" i="3"/>
  <c r="O62" i="3"/>
  <c r="J41" i="2"/>
  <c r="L23" i="2"/>
  <c r="N23" i="2" s="1"/>
  <c r="M54" i="2"/>
  <c r="M50" i="2"/>
  <c r="M51" i="2"/>
  <c r="M53" i="2"/>
  <c r="M55" i="2"/>
  <c r="M52" i="2"/>
  <c r="N45" i="2"/>
  <c r="K27" i="2"/>
  <c r="L27" i="2"/>
  <c r="N27" i="2" s="1"/>
  <c r="K25" i="2"/>
  <c r="M44" i="2"/>
  <c r="L26" i="2"/>
  <c r="N26" i="2" s="1"/>
  <c r="K26" i="2"/>
  <c r="O46" i="2"/>
  <c r="K28" i="2"/>
  <c r="L28" i="2"/>
  <c r="N2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KóLa</author>
  </authors>
  <commentList>
    <comment ref="A1" authorId="0" shapeId="0" xr:uid="{7D6B4AE7-2F98-4F06-9B31-768045B4BDC6}">
      <text>
        <r>
          <rPr>
            <b/>
            <sz val="9"/>
            <color indexed="81"/>
            <rFont val="Tahoma"/>
            <family val="2"/>
            <charset val="238"/>
          </rPr>
          <t>Adatelemzés bővítménnyel</t>
        </r>
      </text>
    </comment>
    <comment ref="B2" authorId="0" shapeId="0" xr:uid="{998AD8D3-E196-46D2-A4A3-61F151F8115D}">
      <text>
        <r>
          <rPr>
            <b/>
            <sz val="9"/>
            <color indexed="81"/>
            <rFont val="Tahoma"/>
            <family val="2"/>
            <charset val="238"/>
          </rPr>
          <t>Normalizált Terület változó varianciája triviálisan 1!</t>
        </r>
      </text>
    </comment>
    <comment ref="B9" authorId="0" shapeId="0" xr:uid="{ABE880A3-4317-492B-8D39-E0A979CB1120}">
      <text>
        <r>
          <rPr>
            <b/>
            <sz val="9"/>
            <color indexed="81"/>
            <rFont val="Tahoma"/>
            <family val="2"/>
            <charset val="238"/>
          </rPr>
          <t>A vizsgált 6 normalizált változó összesen 6*1=6 egységnyi varianciát (információt) hordoz!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KóLa</author>
  </authors>
  <commentList>
    <comment ref="K3" authorId="0" shapeId="0" xr:uid="{BBE6FB72-B1D7-43F6-BEB2-CEB2E12B67C8}">
      <text>
        <r>
          <rPr>
            <b/>
            <sz val="9"/>
            <color indexed="81"/>
            <rFont val="Tahoma"/>
            <family val="2"/>
            <charset val="238"/>
          </rPr>
          <t>Ha az eredeti normalizált adatbázist 2 korrelálatlan dimenzióba kell letranszformálni, akkor EZ az érték akkor lesz minimális, ha a 2 dimenziós transzformáló vektorok pont a kovariancia mátrix két legnagyobb sajátértékéhez tartozó sajátvektorai.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<sst xmlns="http://schemas.openxmlformats.org/spreadsheetml/2006/main" count="1021" uniqueCount="282">
  <si>
    <t>Seychelles</t>
  </si>
  <si>
    <t>Grenada</t>
  </si>
  <si>
    <t>St. Vincent and the Grenadines</t>
  </si>
  <si>
    <t>Sao Tome and Principe</t>
  </si>
  <si>
    <t>St. Lucia</t>
  </si>
  <si>
    <t>Barbados</t>
  </si>
  <si>
    <t>Iceland</t>
  </si>
  <si>
    <t>Maldives</t>
  </si>
  <si>
    <t>Bahamas, The</t>
  </si>
  <si>
    <t>Belize</t>
  </si>
  <si>
    <t>Brunei Darussalam</t>
  </si>
  <si>
    <t>Malta</t>
  </si>
  <si>
    <t>Cape Verde</t>
  </si>
  <si>
    <t>Luxembourg</t>
  </si>
  <si>
    <t>Suriname</t>
  </si>
  <si>
    <t>Solomon Islands</t>
  </si>
  <si>
    <t>Equatorial Guinea</t>
  </si>
  <si>
    <t>Bhutan</t>
  </si>
  <si>
    <t>Comoros</t>
  </si>
  <si>
    <t>Guyana</t>
  </si>
  <si>
    <t>Fiji</t>
  </si>
  <si>
    <t>Djibouti</t>
  </si>
  <si>
    <t>Swaziland</t>
  </si>
  <si>
    <t>Cyprus</t>
  </si>
  <si>
    <t>Timor-Leste</t>
  </si>
  <si>
    <t>Mauritius</t>
  </si>
  <si>
    <t>Bahrain</t>
  </si>
  <si>
    <t>Estonia</t>
  </si>
  <si>
    <t>Trinidad and Tobago</t>
  </si>
  <si>
    <t>Gabon</t>
  </si>
  <si>
    <t>Guinea-Bissau</t>
  </si>
  <si>
    <t>Gambia, The</t>
  </si>
  <si>
    <t>Qatar</t>
  </si>
  <si>
    <t>Botswana</t>
  </si>
  <si>
    <t>Slovenia</t>
  </si>
  <si>
    <t>Macedonia, FYR</t>
  </si>
  <si>
    <t>Lesotho</t>
  </si>
  <si>
    <t>Latvia</t>
  </si>
  <si>
    <t>Namibia</t>
  </si>
  <si>
    <t>Jamaica</t>
  </si>
  <si>
    <t>Mongolia</t>
  </si>
  <si>
    <t>Kuwait</t>
  </si>
  <si>
    <t>Oman</t>
  </si>
  <si>
    <t>Armenia</t>
  </si>
  <si>
    <t>Lithuania</t>
  </si>
  <si>
    <t>Albania</t>
  </si>
  <si>
    <t>Uruguay</t>
  </si>
  <si>
    <t>Mauritania</t>
  </si>
  <si>
    <t>Moldova</t>
  </si>
  <si>
    <t>Panama</t>
  </si>
  <si>
    <t>Bosnia and Herzegovina</t>
  </si>
  <si>
    <t>Liberia</t>
  </si>
  <si>
    <t>Congo, Rep.</t>
  </si>
  <si>
    <t>Lebanon</t>
  </si>
  <si>
    <t>New Zealand</t>
  </si>
  <si>
    <t>Croatia</t>
  </si>
  <si>
    <t>Georgia</t>
  </si>
  <si>
    <t>Central African Republic</t>
  </si>
  <si>
    <t>Ireland</t>
  </si>
  <si>
    <t>Costa Rica</t>
  </si>
  <si>
    <t>Norway</t>
  </si>
  <si>
    <t>Turkmenistan</t>
  </si>
  <si>
    <t>Singapore</t>
  </si>
  <si>
    <t>Finland</t>
  </si>
  <si>
    <t>Eritrea</t>
  </si>
  <si>
    <t>Slovak Republic</t>
  </si>
  <si>
    <t>Kyrgyz Republic</t>
  </si>
  <si>
    <t>Denmark</t>
  </si>
  <si>
    <t>Nicaragua</t>
  </si>
  <si>
    <t>Sierra Leone</t>
  </si>
  <si>
    <t>Togo</t>
  </si>
  <si>
    <t>Jordan</t>
  </si>
  <si>
    <t>El Salvador</t>
  </si>
  <si>
    <t>Lao PDR</t>
  </si>
  <si>
    <t>Libya</t>
  </si>
  <si>
    <t>Paraguay</t>
  </si>
  <si>
    <t>Tajikistan</t>
  </si>
  <si>
    <t>Papua New Guinea</t>
  </si>
  <si>
    <t>Bulgaria</t>
  </si>
  <si>
    <t>Honduras</t>
  </si>
  <si>
    <t>Israel</t>
  </si>
  <si>
    <t>United Arab Emirates</t>
  </si>
  <si>
    <t>Switzerland</t>
  </si>
  <si>
    <t>Austria</t>
  </si>
  <si>
    <t>Burundi</t>
  </si>
  <si>
    <t>Benin</t>
  </si>
  <si>
    <t>Azerbaijan</t>
  </si>
  <si>
    <t>Sweden</t>
  </si>
  <si>
    <t>Belarus</t>
  </si>
  <si>
    <t>Hungary</t>
  </si>
  <si>
    <t>Dominican Republic</t>
  </si>
  <si>
    <t>Bolivia</t>
  </si>
  <si>
    <t>Haiti</t>
  </si>
  <si>
    <t>Guinea</t>
  </si>
  <si>
    <t>Czech Republic</t>
  </si>
  <si>
    <t>Portugal</t>
  </si>
  <si>
    <t>Tunisia</t>
  </si>
  <si>
    <t>Rwanda</t>
  </si>
  <si>
    <t>Belgium</t>
  </si>
  <si>
    <t>Greece</t>
  </si>
  <si>
    <t>Chad</t>
  </si>
  <si>
    <t>Senegal</t>
  </si>
  <si>
    <t>Zambia</t>
  </si>
  <si>
    <t>Cambodia</t>
  </si>
  <si>
    <t>Ecuador</t>
  </si>
  <si>
    <t>Guatemala</t>
  </si>
  <si>
    <t>Malawi</t>
  </si>
  <si>
    <t>Mali</t>
  </si>
  <si>
    <t>Niger</t>
  </si>
  <si>
    <t>Kazakhstan</t>
  </si>
  <si>
    <t>Netherlands</t>
  </si>
  <si>
    <t>Burkina Faso</t>
  </si>
  <si>
    <t>Chile</t>
  </si>
  <si>
    <t>Angola</t>
  </si>
  <si>
    <t>Cameroon</t>
  </si>
  <si>
    <t>Cote d'Ivoire</t>
  </si>
  <si>
    <t>Syrian Arab Republic</t>
  </si>
  <si>
    <t>Sri Lanka</t>
  </si>
  <si>
    <t>Madagascar</t>
  </si>
  <si>
    <t>Romania</t>
  </si>
  <si>
    <t>Australia</t>
  </si>
  <si>
    <t>Mozambique</t>
  </si>
  <si>
    <t>Yemen, Rep.</t>
  </si>
  <si>
    <t>Ghana</t>
  </si>
  <si>
    <t>Saudi Arabia</t>
  </si>
  <si>
    <t>Malaysia</t>
  </si>
  <si>
    <t>Venezuela, RB</t>
  </si>
  <si>
    <t>Uzbekistan</t>
  </si>
  <si>
    <t>Peru</t>
  </si>
  <si>
    <t>Nepal</t>
  </si>
  <si>
    <t>Morocco</t>
  </si>
  <si>
    <t>Iraq</t>
  </si>
  <si>
    <t>Sudan</t>
  </si>
  <si>
    <t>Canada</t>
  </si>
  <si>
    <t>Uganda</t>
  </si>
  <si>
    <t>Afghanistan</t>
  </si>
  <si>
    <t>Algeria</t>
  </si>
  <si>
    <t>Poland</t>
  </si>
  <si>
    <t>Argentina</t>
  </si>
  <si>
    <t>Kenya</t>
  </si>
  <si>
    <t>Ukraine</t>
  </si>
  <si>
    <t>Tanzania</t>
  </si>
  <si>
    <t>Spain</t>
  </si>
  <si>
    <t>Colombia</t>
  </si>
  <si>
    <t>Korea, Rep.</t>
  </si>
  <si>
    <t>South Africa</t>
  </si>
  <si>
    <t>Italy</t>
  </si>
  <si>
    <t>United Kingdom</t>
  </si>
  <si>
    <t>France</t>
  </si>
  <si>
    <t>Congo, Dem. Rep.</t>
  </si>
  <si>
    <t>Thailand</t>
  </si>
  <si>
    <t>Turkey</t>
  </si>
  <si>
    <t>Iran, Islamic Rep.</t>
  </si>
  <si>
    <t>Germany</t>
  </si>
  <si>
    <t>Egypt, Arab Rep.</t>
  </si>
  <si>
    <t>Ethiopia</t>
  </si>
  <si>
    <t>Vietnam</t>
  </si>
  <si>
    <t>Philippines</t>
  </si>
  <si>
    <t>Mexico</t>
  </si>
  <si>
    <t>Japan</t>
  </si>
  <si>
    <t>Russian Federation</t>
  </si>
  <si>
    <t>Bangladesh</t>
  </si>
  <si>
    <t>Nigeria</t>
  </si>
  <si>
    <t>Pakistan</t>
  </si>
  <si>
    <t>Brazil</t>
  </si>
  <si>
    <t>Indonesia</t>
  </si>
  <si>
    <t>United States</t>
  </si>
  <si>
    <t>India</t>
  </si>
  <si>
    <t>China</t>
  </si>
  <si>
    <t>Terület (km2)</t>
  </si>
  <si>
    <t>Népesség</t>
  </si>
  <si>
    <t>Ország neve</t>
  </si>
  <si>
    <t>Csecsemőhalandóság (1000 újszülöttre)</t>
  </si>
  <si>
    <t>Internet felhasználók (100 főre)</t>
  </si>
  <si>
    <t>Születéskor várható élettartam (év)</t>
  </si>
  <si>
    <t>LN(GDP/fő $)</t>
  </si>
  <si>
    <t>Ország</t>
  </si>
  <si>
    <t>1. dimenzió</t>
  </si>
  <si>
    <t>2. dimenzió</t>
  </si>
  <si>
    <t>Összes négyzetes hiba, amit elkövettünk a felépítés során:</t>
  </si>
  <si>
    <t>Eredeti normalizált adatbátis felépítése a 2 dimenziós, korrelálatlan adatbázisból----&gt;</t>
  </si>
  <si>
    <t>Eltérés 1. sajátvektortól</t>
  </si>
  <si>
    <t>Eltérés 2. sajátvektortól</t>
  </si>
  <si>
    <t>Korrel (1. dim, 2. dim) =</t>
  </si>
  <si>
    <t>------&gt;</t>
  </si>
  <si>
    <t>p</t>
  </si>
  <si>
    <t>k</t>
  </si>
  <si>
    <t>n</t>
  </si>
  <si>
    <t>X</t>
  </si>
  <si>
    <t>Y</t>
  </si>
  <si>
    <t>…</t>
  </si>
  <si>
    <t>Előfeltételek</t>
  </si>
  <si>
    <t>Korrelációk</t>
  </si>
  <si>
    <t>Korrelációs mátrix determinánsa</t>
  </si>
  <si>
    <t>KMO: legyen 0,5 felett, de 0,7 felett az igazán jó</t>
  </si>
  <si>
    <t>Anti - Image</t>
  </si>
  <si>
    <t>Főátló</t>
  </si>
  <si>
    <t>változónkénti KMO</t>
  </si>
  <si>
    <t>Főátlón kívül</t>
  </si>
  <si>
    <t>parciális korrelációk</t>
  </si>
  <si>
    <t>Értelmezések</t>
  </si>
  <si>
    <t>Kommunalitás</t>
  </si>
  <si>
    <t>Komponens mátrix C</t>
  </si>
  <si>
    <t>Főkomponensek és eredeti változók közti korrelációk</t>
  </si>
  <si>
    <r>
      <t xml:space="preserve">R = A </t>
    </r>
    <r>
      <rPr>
        <b/>
        <sz val="11"/>
        <color theme="1"/>
        <rFont val="Symbol"/>
        <family val="1"/>
        <charset val="2"/>
      </rPr>
      <t xml:space="preserve">L </t>
    </r>
    <r>
      <rPr>
        <b/>
        <sz val="11"/>
        <color theme="1"/>
        <rFont val="Calibri"/>
        <family val="2"/>
        <charset val="238"/>
        <scheme val="minor"/>
      </rPr>
      <t>A</t>
    </r>
    <r>
      <rPr>
        <b/>
        <vertAlign val="superscript"/>
        <sz val="11"/>
        <color theme="1"/>
        <rFont val="Calibri"/>
        <family val="2"/>
        <charset val="238"/>
        <scheme val="minor"/>
      </rPr>
      <t>T</t>
    </r>
  </si>
  <si>
    <t>Bartlett: H_0 függetlenek a változóink (de előfeltétel a többdimenziós normális eloszlás!)</t>
  </si>
  <si>
    <t>Legyen A mátrix olyan, hogy oszlopait az a_1 és a_2 vektorok adják.</t>
  </si>
  <si>
    <r>
      <t xml:space="preserve">1. transzformáló vektor = </t>
    </r>
    <r>
      <rPr>
        <b/>
        <i/>
        <sz val="11"/>
        <color theme="1"/>
        <rFont val="Calibri"/>
        <family val="2"/>
        <charset val="238"/>
        <scheme val="minor"/>
      </rPr>
      <t>a_1</t>
    </r>
  </si>
  <si>
    <r>
      <t xml:space="preserve">2. transzformáló vektor = </t>
    </r>
    <r>
      <rPr>
        <b/>
        <i/>
        <sz val="11"/>
        <color theme="1"/>
        <rFont val="Calibri"/>
        <family val="2"/>
        <charset val="238"/>
        <scheme val="minor"/>
      </rPr>
      <t>a_2</t>
    </r>
  </si>
  <si>
    <r>
      <t xml:space="preserve">Ekkor A mátrix olyan, hogy minimalizálja a </t>
    </r>
    <r>
      <rPr>
        <b/>
        <sz val="11"/>
        <color theme="1"/>
        <rFont val="Calibri"/>
        <family val="2"/>
        <charset val="238"/>
        <scheme val="minor"/>
      </rPr>
      <t>K3</t>
    </r>
    <r>
      <rPr>
        <sz val="11"/>
        <color theme="1"/>
        <rFont val="Calibri"/>
        <family val="2"/>
        <charset val="238"/>
        <scheme val="minor"/>
      </rPr>
      <t>-ban található</t>
    </r>
  </si>
  <si>
    <r>
      <rPr>
        <sz val="11"/>
        <color theme="1"/>
        <rFont val="Calibri"/>
        <family val="2"/>
        <charset val="238"/>
      </rPr>
      <t>∑</t>
    </r>
    <r>
      <rPr>
        <vertAlign val="subscript"/>
        <sz val="11"/>
        <color theme="1"/>
        <rFont val="Calibri"/>
        <family val="2"/>
        <charset val="238"/>
      </rPr>
      <t xml:space="preserve">i ϵ </t>
    </r>
    <r>
      <rPr>
        <vertAlign val="subscript"/>
        <sz val="11"/>
        <color theme="1"/>
        <rFont val="Calibri"/>
        <family val="2"/>
        <charset val="238"/>
        <scheme val="minor"/>
      </rPr>
      <t>{1…n}</t>
    </r>
    <r>
      <rPr>
        <sz val="11"/>
        <color theme="1"/>
        <rFont val="Calibri"/>
        <family val="2"/>
        <charset val="238"/>
        <scheme val="minor"/>
      </rPr>
      <t>||</t>
    </r>
    <r>
      <rPr>
        <b/>
        <sz val="11"/>
        <color theme="1"/>
        <rFont val="Calibri"/>
        <family val="2"/>
        <charset val="238"/>
        <scheme val="minor"/>
      </rPr>
      <t>x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sz val="11"/>
        <color theme="1"/>
        <rFont val="Calibri"/>
        <family val="2"/>
        <charset val="238"/>
        <scheme val="minor"/>
      </rPr>
      <t>-AA</t>
    </r>
    <r>
      <rPr>
        <vertAlign val="superscript"/>
        <sz val="11"/>
        <color theme="1"/>
        <rFont val="Calibri"/>
        <family val="2"/>
        <charset val="238"/>
        <scheme val="minor"/>
      </rPr>
      <t>T</t>
    </r>
    <r>
      <rPr>
        <b/>
        <sz val="11"/>
        <color theme="1"/>
        <rFont val="Calibri"/>
        <family val="2"/>
        <charset val="238"/>
        <scheme val="minor"/>
      </rPr>
      <t>x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sz val="11"/>
        <color theme="1"/>
        <rFont val="Calibri"/>
        <family val="2"/>
        <charset val="238"/>
        <scheme val="minor"/>
      </rPr>
      <t>||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mennyiséget.</t>
    </r>
  </si>
  <si>
    <r>
      <t xml:space="preserve">Főkomponensek </t>
    </r>
    <r>
      <rPr>
        <i/>
        <sz val="11"/>
        <color theme="1"/>
        <rFont val="Calibri"/>
        <family val="2"/>
        <charset val="238"/>
        <scheme val="minor"/>
      </rPr>
      <t>(k</t>
    </r>
    <r>
      <rPr>
        <sz val="11"/>
        <color theme="1"/>
        <rFont val="Calibri"/>
        <family val="2"/>
        <charset val="238"/>
        <scheme val="minor"/>
      </rPr>
      <t xml:space="preserve"> db) mennyit magyaráznak az adott változó varianciából?</t>
    </r>
  </si>
  <si>
    <r>
      <t>Regressziós R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-ként is értelmezhető!</t>
    </r>
  </si>
  <si>
    <r>
      <t>λ</t>
    </r>
    <r>
      <rPr>
        <vertAlign val="subscript"/>
        <sz val="11"/>
        <color theme="1"/>
        <rFont val="Calibri"/>
        <family val="2"/>
        <charset val="238"/>
      </rPr>
      <t>1</t>
    </r>
    <r>
      <rPr>
        <sz val="11"/>
        <color theme="1"/>
        <rFont val="Calibri"/>
        <family val="2"/>
        <charset val="238"/>
      </rPr>
      <t xml:space="preserve">   ≥</t>
    </r>
  </si>
  <si>
    <r>
      <t>λ</t>
    </r>
    <r>
      <rPr>
        <vertAlign val="subscript"/>
        <sz val="11"/>
        <color theme="1"/>
        <rFont val="Calibri"/>
        <family val="2"/>
        <charset val="238"/>
      </rPr>
      <t>2</t>
    </r>
    <r>
      <rPr>
        <sz val="11"/>
        <color theme="1"/>
        <rFont val="Calibri"/>
        <family val="2"/>
        <charset val="238"/>
      </rPr>
      <t xml:space="preserve">   ≥</t>
    </r>
  </si>
  <si>
    <r>
      <t>λ</t>
    </r>
    <r>
      <rPr>
        <vertAlign val="subscript"/>
        <sz val="11"/>
        <color theme="1"/>
        <rFont val="Calibri"/>
        <family val="2"/>
        <charset val="238"/>
      </rPr>
      <t xml:space="preserve">k </t>
    </r>
    <r>
      <rPr>
        <sz val="11"/>
        <color theme="1"/>
        <rFont val="Calibri"/>
        <family val="2"/>
        <charset val="238"/>
      </rPr>
      <t xml:space="preserve">  ≥</t>
    </r>
  </si>
  <si>
    <r>
      <t>λ</t>
    </r>
    <r>
      <rPr>
        <vertAlign val="subscript"/>
        <sz val="11"/>
        <color theme="1"/>
        <rFont val="Calibri"/>
        <family val="2"/>
        <charset val="238"/>
      </rPr>
      <t xml:space="preserve">p </t>
    </r>
    <r>
      <rPr>
        <sz val="11"/>
        <color theme="1"/>
        <rFont val="Calibri"/>
        <family val="2"/>
        <charset val="238"/>
      </rPr>
      <t xml:space="preserve">  &gt; 0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</si>
  <si>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</si>
  <si>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/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</si>
  <si>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</si>
  <si>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k</t>
    </r>
  </si>
  <si>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charset val="238"/>
        <scheme val="minor"/>
      </rPr>
      <t xml:space="preserve"> = diag(λ</t>
    </r>
    <r>
      <rPr>
        <vertAlign val="subscript"/>
        <sz val="11"/>
        <color theme="1"/>
        <rFont val="Calibri"/>
        <family val="2"/>
        <charset val="238"/>
        <scheme val="minor"/>
      </rPr>
      <t>i</t>
    </r>
    <r>
      <rPr>
        <sz val="11"/>
        <color theme="1"/>
        <rFont val="Calibri"/>
        <family val="2"/>
        <charset val="238"/>
        <scheme val="minor"/>
      </rPr>
      <t>)</t>
    </r>
  </si>
  <si>
    <r>
      <t>y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 X * a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</si>
  <si>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y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 X * a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</si>
  <si>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y</t>
    </r>
    <r>
      <rPr>
        <vertAlign val="subscript"/>
        <sz val="11"/>
        <color theme="1"/>
        <rFont val="Calibri"/>
        <family val="2"/>
        <charset val="238"/>
        <scheme val="minor"/>
      </rPr>
      <t>p</t>
    </r>
    <r>
      <rPr>
        <sz val="11"/>
        <color theme="1"/>
        <rFont val="Calibri"/>
        <family val="2"/>
        <charset val="238"/>
        <scheme val="minor"/>
      </rPr>
      <t xml:space="preserve"> = X * 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</si>
  <si>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Sajátértékek táblázata, mint a főkomponensek varianciái</t>
  </si>
  <si>
    <t>Original data</t>
  </si>
  <si>
    <t>new, latent variables</t>
  </si>
  <si>
    <t>k = 1, … , p optional</t>
  </si>
  <si>
    <t>Principal component analysis</t>
  </si>
  <si>
    <t>There are several correlating variables (eg country data: GDP / capita, infant mortality, literacy rate, population, country area, etc.)</t>
  </si>
  <si>
    <t>Purpose of principal component analysis: to compress correlated variables into uncorrelated principal components</t>
  </si>
  <si>
    <t>Principal components: made as linear combinations of original (normalized) variables</t>
  </si>
  <si>
    <t>We typically keep fewer variables than the original (-&gt; dimension reduction)</t>
  </si>
  <si>
    <t>For a given dimension, the explained variance should be maximal (the number of dimensions can be selected!)</t>
  </si>
  <si>
    <t>So called latent variables will be the principal components (eg country development indicator, country size indicator)</t>
  </si>
  <si>
    <t>Mathematical background:</t>
  </si>
  <si>
    <t>X correlation matrix: R (p*p size) = the matrix of the covariance  (normalized for each variable)</t>
  </si>
  <si>
    <t>X could be only numeric (continuous)</t>
  </si>
  <si>
    <t>base of correlation --&gt;linear relation</t>
  </si>
  <si>
    <t>R eigen values</t>
  </si>
  <si>
    <r>
      <t xml:space="preserve">Sum = </t>
    </r>
    <r>
      <rPr>
        <i/>
        <sz val="11"/>
        <color theme="1"/>
        <rFont val="Calibri"/>
        <family val="2"/>
        <charset val="238"/>
      </rPr>
      <t>p</t>
    </r>
  </si>
  <si>
    <t>eigen vectors</t>
  </si>
  <si>
    <t>Matrix of eigen values and vectors</t>
  </si>
  <si>
    <r>
      <t xml:space="preserve">A = </t>
    </r>
    <r>
      <rPr>
        <i/>
        <sz val="11"/>
        <color theme="1"/>
        <rFont val="Calibri"/>
        <family val="2"/>
        <charset val="238"/>
        <scheme val="minor"/>
      </rPr>
      <t>a</t>
    </r>
    <r>
      <rPr>
        <i/>
        <vertAlign val="subscript"/>
        <sz val="11"/>
        <color theme="1"/>
        <rFont val="Calibri"/>
        <family val="2"/>
        <charset val="238"/>
        <scheme val="minor"/>
      </rPr>
      <t>i</t>
    </r>
    <r>
      <rPr>
        <sz val="11"/>
        <color theme="1"/>
        <rFont val="Calibri"/>
        <family val="2"/>
        <charset val="238"/>
        <scheme val="minor"/>
      </rPr>
      <t xml:space="preserve"> vectors are the columns of matrice</t>
    </r>
  </si>
  <si>
    <t>Spectral decomposition</t>
  </si>
  <si>
    <t>Principal components</t>
  </si>
  <si>
    <t>The principal components are n long vectors from the linear combinations of the original variables!</t>
  </si>
  <si>
    <t>Variance of principal components</t>
  </si>
  <si>
    <t>We keep the first k, so the explained variance is maximal in k dimensions!</t>
  </si>
  <si>
    <r>
      <t>All explained variance: (</t>
    </r>
    <r>
      <rPr>
        <sz val="11"/>
        <color theme="1"/>
        <rFont val="Calibri"/>
        <family val="2"/>
        <charset val="238"/>
      </rPr>
      <t>λ</t>
    </r>
    <r>
      <rPr>
        <vertAlign val="subscript"/>
        <sz val="11"/>
        <color theme="1"/>
        <rFont val="Calibri"/>
        <family val="2"/>
        <charset val="238"/>
      </rPr>
      <t xml:space="preserve">1 </t>
    </r>
    <r>
      <rPr>
        <sz val="11"/>
        <color theme="1"/>
        <rFont val="Calibri"/>
        <family val="2"/>
        <charset val="238"/>
      </rPr>
      <t>+ … + λ</t>
    </r>
    <r>
      <rPr>
        <vertAlign val="subscript"/>
        <sz val="11"/>
        <color theme="1"/>
        <rFont val="Calibri"/>
        <family val="2"/>
        <charset val="238"/>
      </rPr>
      <t>k</t>
    </r>
    <r>
      <rPr>
        <sz val="11"/>
        <color theme="1"/>
        <rFont val="Calibri"/>
        <family val="2"/>
        <charset val="238"/>
      </rPr>
      <t>) / p</t>
    </r>
  </si>
  <si>
    <t>The principal components are not correlated</t>
  </si>
  <si>
    <t>Country</t>
  </si>
  <si>
    <t>Area (km2)</t>
  </si>
  <si>
    <t>Population</t>
  </si>
  <si>
    <t>Infant mortality (per 1000 birth)</t>
  </si>
  <si>
    <t>Internet users (per 1000 people)</t>
  </si>
  <si>
    <t>Expected lifetime</t>
  </si>
  <si>
    <t>LN(GDP/capita $)</t>
  </si>
  <si>
    <t>normalization---&gt;</t>
  </si>
  <si>
    <t>Covariances of normalized data</t>
  </si>
  <si>
    <t>Total variance of dataset</t>
  </si>
  <si>
    <t>Eigen values of covariance matrix</t>
  </si>
  <si>
    <t>Eigen vectors of covariance matrix</t>
  </si>
  <si>
    <t>1. prin. comp.</t>
  </si>
  <si>
    <t>2. prin. comp.</t>
  </si>
  <si>
    <t>3. prin. comp.</t>
  </si>
  <si>
    <t>4. prin. comp.</t>
  </si>
  <si>
    <t>5. prin. comp.</t>
  </si>
  <si>
    <t>6. prin. comp.</t>
  </si>
  <si>
    <t>Variance-covariance matrix of normalized data =
= Correlation matrix of original data</t>
  </si>
  <si>
    <t>Mean</t>
  </si>
  <si>
    <t>Variance</t>
  </si>
  <si>
    <t>Eigen Value</t>
  </si>
  <si>
    <t>Control</t>
  </si>
  <si>
    <t>Explained variance ratio</t>
  </si>
  <si>
    <t>Cummulated explained variance ratio</t>
  </si>
  <si>
    <r>
      <t>--&gt;</t>
    </r>
    <r>
      <rPr>
        <b/>
        <i/>
        <u/>
        <sz val="11"/>
        <color theme="1"/>
        <rFont val="Calibri"/>
        <family val="2"/>
        <charset val="238"/>
        <scheme val="minor"/>
      </rPr>
      <t>with the first two principal components we explained 81.89% of the combined variance of the 6 variables examined</t>
    </r>
  </si>
  <si>
    <t>Variance-covariance matrix of pricipal components</t>
  </si>
  <si>
    <t>Component matrix</t>
  </si>
  <si>
    <t>1. PC</t>
  </si>
  <si>
    <t>2. 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</si>
</sst>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000"/>
  </numFmts>
  <fonts count="22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5" tint="-0.499984740745262"/>
      <name val="Calibri"/>
      <family val="2"/>
      <charset val="238"/>
      <scheme val="minor"/>
    </font>
    <font>
      <b/>
      <i/>
      <u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</font>
    <font>
      <i/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i/>
      <vertAlign val="subscript"/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1" xfId="0" applyBorder="1"/>
    <xf numFmtId="0" fontId="2" fillId="0" borderId="2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0" xfId="0" applyFont="1"/>
    <xf numFmtId="0" fontId="1" fillId="0" borderId="10" xfId="0" applyFont="1" applyBorder="1" applyAlignment="1">
      <alignment horizontal="center"/>
    </xf>
    <xf numFmtId="0" fontId="0" fillId="0" borderId="7" xfId="0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166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5" fillId="0" borderId="0" xfId="0" quotePrefix="1" applyFont="1"/>
    <xf numFmtId="0" fontId="0" fillId="2" borderId="9" xfId="0" applyFill="1" applyBorder="1"/>
    <xf numFmtId="0" fontId="1" fillId="2" borderId="9" xfId="0" applyFont="1" applyFill="1" applyBorder="1" applyAlignment="1">
      <alignment horizontal="right"/>
    </xf>
    <xf numFmtId="164" fontId="0" fillId="0" borderId="1" xfId="0" applyNumberFormat="1" applyBorder="1"/>
    <xf numFmtId="0" fontId="2" fillId="0" borderId="2" xfId="0" applyFont="1" applyBorder="1" applyAlignment="1">
      <alignment horizontal="left"/>
    </xf>
    <xf numFmtId="164" fontId="0" fillId="3" borderId="0" xfId="0" applyNumberFormat="1" applyFill="1"/>
    <xf numFmtId="0" fontId="1" fillId="0" borderId="0" xfId="0" applyFont="1" applyAlignment="1">
      <alignment horizontal="left"/>
    </xf>
    <xf numFmtId="164" fontId="0" fillId="0" borderId="7" xfId="0" applyNumberFormat="1" applyBorder="1" applyAlignment="1">
      <alignment horizontal="center"/>
    </xf>
    <xf numFmtId="164" fontId="6" fillId="4" borderId="0" xfId="0" applyNumberFormat="1" applyFont="1" applyFill="1"/>
    <xf numFmtId="164" fontId="2" fillId="0" borderId="0" xfId="0" applyNumberFormat="1" applyFont="1" applyAlignment="1">
      <alignment horizontal="center"/>
    </xf>
    <xf numFmtId="10" fontId="0" fillId="0" borderId="0" xfId="1" applyNumberFormat="1" applyFont="1"/>
    <xf numFmtId="0" fontId="2" fillId="0" borderId="0" xfId="0" applyFont="1"/>
    <xf numFmtId="10" fontId="0" fillId="2" borderId="0" xfId="0" applyNumberFormat="1" applyFill="1"/>
    <xf numFmtId="10" fontId="7" fillId="2" borderId="9" xfId="0" applyNumberFormat="1" applyFont="1" applyFill="1" applyBorder="1"/>
    <xf numFmtId="10" fontId="0" fillId="0" borderId="0" xfId="0" applyNumberFormat="1"/>
    <xf numFmtId="10" fontId="0" fillId="2" borderId="0" xfId="1" applyNumberFormat="1" applyFont="1" applyFill="1"/>
    <xf numFmtId="10" fontId="0" fillId="2" borderId="9" xfId="1" applyNumberFormat="1" applyFont="1" applyFill="1" applyBorder="1"/>
    <xf numFmtId="166" fontId="2" fillId="0" borderId="0" xfId="0" applyNumberFormat="1" applyFont="1"/>
    <xf numFmtId="0" fontId="1" fillId="0" borderId="0" xfId="0" quotePrefix="1" applyFont="1" applyAlignment="1">
      <alignment horizontal="center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13" fillId="0" borderId="0" xfId="0" applyFont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</cellXfs>
  <cellStyles count="2">
    <cellStyle name="Normál" xfId="0" builtinId="0"/>
    <cellStyle name="Százalék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98841-0958-4ADE-8CB1-8B69397B3399}">
  <dimension ref="B2:I61"/>
  <sheetViews>
    <sheetView tabSelected="1" zoomScaleNormal="100" workbookViewId="0">
      <selection activeCell="B2" sqref="B2"/>
    </sheetView>
  </sheetViews>
  <sheetFormatPr defaultRowHeight="15"/>
  <cols>
    <col min="2" max="2" width="28.85546875" customWidth="1"/>
    <col min="3" max="3" width="22.28515625" customWidth="1"/>
    <col min="4" max="4" width="14.7109375" customWidth="1"/>
    <col min="5" max="5" width="9.5703125" customWidth="1"/>
    <col min="6" max="6" width="13" customWidth="1"/>
    <col min="7" max="7" width="9.140625" customWidth="1"/>
    <col min="8" max="8" width="10" customWidth="1"/>
  </cols>
  <sheetData>
    <row r="2" spans="2:9">
      <c r="B2" s="9" t="s">
        <v>229</v>
      </c>
    </row>
    <row r="4" spans="2:9">
      <c r="B4" t="s">
        <v>230</v>
      </c>
    </row>
    <row r="5" spans="2:9">
      <c r="B5" s="9" t="s">
        <v>231</v>
      </c>
    </row>
    <row r="6" spans="2:9">
      <c r="B6" t="s">
        <v>232</v>
      </c>
    </row>
    <row r="7" spans="2:9">
      <c r="B7" t="s">
        <v>233</v>
      </c>
    </row>
    <row r="8" spans="2:9">
      <c r="B8" t="s">
        <v>234</v>
      </c>
    </row>
    <row r="9" spans="2:9">
      <c r="B9" t="s">
        <v>235</v>
      </c>
    </row>
    <row r="11" spans="2:9">
      <c r="C11" s="44" t="s">
        <v>185</v>
      </c>
      <c r="D11" s="44"/>
      <c r="E11" s="44"/>
      <c r="H11" s="44" t="s">
        <v>186</v>
      </c>
      <c r="I11" s="44"/>
    </row>
    <row r="12" spans="2:9">
      <c r="B12" s="45" t="s">
        <v>187</v>
      </c>
      <c r="C12" s="46" t="s">
        <v>188</v>
      </c>
      <c r="D12" s="46"/>
      <c r="E12" s="46"/>
      <c r="G12" s="45" t="s">
        <v>187</v>
      </c>
      <c r="H12" s="46" t="s">
        <v>189</v>
      </c>
      <c r="I12" s="46"/>
    </row>
    <row r="13" spans="2:9">
      <c r="B13" s="45"/>
      <c r="C13" s="46"/>
      <c r="D13" s="46"/>
      <c r="E13" s="46"/>
      <c r="G13" s="45"/>
      <c r="H13" s="46"/>
      <c r="I13" s="46"/>
    </row>
    <row r="14" spans="2:9">
      <c r="B14" s="45"/>
      <c r="C14" s="46"/>
      <c r="D14" s="46"/>
      <c r="E14" s="46"/>
      <c r="G14" s="45"/>
      <c r="H14" s="46"/>
      <c r="I14" s="46"/>
    </row>
    <row r="15" spans="2:9">
      <c r="B15" s="45"/>
      <c r="C15" s="46"/>
      <c r="D15" s="46"/>
      <c r="E15" s="46"/>
      <c r="F15" s="36" t="s">
        <v>184</v>
      </c>
      <c r="G15" s="45"/>
      <c r="H15" s="46"/>
      <c r="I15" s="46"/>
    </row>
    <row r="16" spans="2:9">
      <c r="B16" s="45"/>
      <c r="C16" s="46"/>
      <c r="D16" s="46"/>
      <c r="E16" s="46"/>
      <c r="G16" s="45"/>
      <c r="H16" s="46"/>
      <c r="I16" s="46"/>
    </row>
    <row r="17" spans="2:9">
      <c r="B17" s="45"/>
      <c r="C17" s="46"/>
      <c r="D17" s="46"/>
      <c r="E17" s="46"/>
      <c r="G17" s="45"/>
      <c r="H17" s="46"/>
      <c r="I17" s="46"/>
    </row>
    <row r="18" spans="2:9">
      <c r="B18" s="45"/>
      <c r="C18" s="46"/>
      <c r="D18" s="46"/>
      <c r="E18" s="46"/>
      <c r="G18" s="45"/>
      <c r="H18" s="46"/>
      <c r="I18" s="46"/>
    </row>
    <row r="19" spans="2:9">
      <c r="B19" s="45"/>
      <c r="C19" s="46"/>
      <c r="D19" s="46"/>
      <c r="E19" s="46"/>
      <c r="G19" s="45"/>
      <c r="H19" s="46"/>
      <c r="I19" s="46"/>
    </row>
    <row r="20" spans="2:9">
      <c r="C20" s="45" t="s">
        <v>226</v>
      </c>
      <c r="D20" s="45"/>
      <c r="E20" s="45"/>
      <c r="F20" s="9"/>
      <c r="G20" s="9"/>
      <c r="H20" s="47" t="s">
        <v>227</v>
      </c>
      <c r="I20" s="47"/>
    </row>
    <row r="21" spans="2:9">
      <c r="C21" s="45"/>
      <c r="D21" s="45"/>
      <c r="E21" s="45"/>
      <c r="F21" s="9"/>
      <c r="G21" s="9"/>
      <c r="H21" s="47"/>
      <c r="I21" s="47"/>
    </row>
    <row r="22" spans="2:9">
      <c r="H22" t="s">
        <v>228</v>
      </c>
    </row>
    <row r="23" spans="2:9">
      <c r="B23" s="9" t="s">
        <v>236</v>
      </c>
    </row>
    <row r="24" spans="2:9">
      <c r="C24" t="s">
        <v>237</v>
      </c>
    </row>
    <row r="25" spans="2:9">
      <c r="C25" t="s">
        <v>238</v>
      </c>
    </row>
    <row r="26" spans="2:9">
      <c r="C26" t="s">
        <v>239</v>
      </c>
    </row>
    <row r="28" spans="2:9" ht="18">
      <c r="B28" t="s">
        <v>240</v>
      </c>
      <c r="C28" s="37" t="s">
        <v>213</v>
      </c>
      <c r="D28" s="37" t="s">
        <v>214</v>
      </c>
      <c r="E28" s="38" t="s">
        <v>190</v>
      </c>
      <c r="F28" s="37" t="s">
        <v>215</v>
      </c>
      <c r="G28" s="39" t="s">
        <v>190</v>
      </c>
      <c r="H28" s="37" t="s">
        <v>216</v>
      </c>
      <c r="I28" s="43" t="s">
        <v>241</v>
      </c>
    </row>
    <row r="30" spans="2:9" ht="18">
      <c r="B30" s="48" t="s">
        <v>242</v>
      </c>
      <c r="C30" s="15" t="s">
        <v>217</v>
      </c>
      <c r="D30" s="15" t="s">
        <v>218</v>
      </c>
      <c r="E30" s="38" t="s">
        <v>190</v>
      </c>
      <c r="F30" s="15" t="s">
        <v>220</v>
      </c>
      <c r="G30" s="38" t="s">
        <v>190</v>
      </c>
      <c r="H30" s="15" t="s">
        <v>219</v>
      </c>
    </row>
    <row r="31" spans="2:9">
      <c r="B31" s="48"/>
    </row>
    <row r="32" spans="2:9">
      <c r="B32" s="40"/>
    </row>
    <row r="33" spans="2:8" ht="18">
      <c r="B33" s="48" t="s">
        <v>243</v>
      </c>
      <c r="C33" s="41" t="s">
        <v>221</v>
      </c>
    </row>
    <row r="34" spans="2:8" ht="18">
      <c r="B34" s="48"/>
      <c r="C34" t="s">
        <v>244</v>
      </c>
    </row>
    <row r="35" spans="2:8">
      <c r="B35" s="40"/>
    </row>
    <row r="36" spans="2:8" ht="17.25" customHeight="1">
      <c r="B36" s="48" t="s">
        <v>245</v>
      </c>
      <c r="C36" s="45" t="s">
        <v>204</v>
      </c>
    </row>
    <row r="37" spans="2:8">
      <c r="B37" s="48"/>
      <c r="C37" s="45"/>
    </row>
    <row r="39" spans="2:8" ht="18">
      <c r="B39" t="s">
        <v>246</v>
      </c>
      <c r="C39" t="s">
        <v>222</v>
      </c>
      <c r="D39" t="s">
        <v>223</v>
      </c>
      <c r="E39" s="38" t="s">
        <v>190</v>
      </c>
      <c r="F39" t="s">
        <v>224</v>
      </c>
      <c r="G39" s="38" t="s">
        <v>190</v>
      </c>
      <c r="H39" t="s">
        <v>224</v>
      </c>
    </row>
    <row r="40" spans="2:8">
      <c r="C40" t="s">
        <v>247</v>
      </c>
    </row>
    <row r="42" spans="2:8" ht="18">
      <c r="B42" t="s">
        <v>248</v>
      </c>
      <c r="C42" s="37" t="s">
        <v>213</v>
      </c>
      <c r="D42" s="37" t="s">
        <v>214</v>
      </c>
      <c r="E42" s="38" t="s">
        <v>190</v>
      </c>
      <c r="F42" s="37" t="s">
        <v>215</v>
      </c>
      <c r="G42" s="39" t="s">
        <v>190</v>
      </c>
      <c r="H42" s="37" t="s">
        <v>216</v>
      </c>
    </row>
    <row r="44" spans="2:8">
      <c r="C44" t="s">
        <v>249</v>
      </c>
    </row>
    <row r="46" spans="2:8" ht="18">
      <c r="C46" t="s">
        <v>250</v>
      </c>
    </row>
    <row r="48" spans="2:8">
      <c r="C48" t="s">
        <v>251</v>
      </c>
    </row>
    <row r="50" spans="2:5">
      <c r="B50" t="s">
        <v>191</v>
      </c>
    </row>
    <row r="51" spans="2:5">
      <c r="C51" t="s">
        <v>192</v>
      </c>
    </row>
    <row r="52" spans="2:5">
      <c r="C52" t="s">
        <v>193</v>
      </c>
    </row>
    <row r="53" spans="2:5">
      <c r="C53" t="s">
        <v>194</v>
      </c>
    </row>
    <row r="54" spans="2:5">
      <c r="C54" t="s">
        <v>205</v>
      </c>
    </row>
    <row r="55" spans="2:5">
      <c r="C55" t="s">
        <v>195</v>
      </c>
      <c r="D55" t="s">
        <v>196</v>
      </c>
      <c r="E55" t="s">
        <v>197</v>
      </c>
    </row>
    <row r="56" spans="2:5">
      <c r="D56" t="s">
        <v>198</v>
      </c>
      <c r="E56" t="s">
        <v>199</v>
      </c>
    </row>
    <row r="58" spans="2:5">
      <c r="B58" t="s">
        <v>200</v>
      </c>
      <c r="C58" t="s">
        <v>201</v>
      </c>
      <c r="D58" t="s">
        <v>211</v>
      </c>
    </row>
    <row r="59" spans="2:5" ht="17.25">
      <c r="D59" t="s">
        <v>212</v>
      </c>
    </row>
    <row r="60" spans="2:5">
      <c r="C60" t="s">
        <v>225</v>
      </c>
    </row>
    <row r="61" spans="2:5">
      <c r="C61" t="s">
        <v>202</v>
      </c>
      <c r="D61" t="s">
        <v>203</v>
      </c>
    </row>
  </sheetData>
  <mergeCells count="12">
    <mergeCell ref="C20:E21"/>
    <mergeCell ref="H20:I21"/>
    <mergeCell ref="B30:B31"/>
    <mergeCell ref="B33:B34"/>
    <mergeCell ref="B36:B37"/>
    <mergeCell ref="C36:C37"/>
    <mergeCell ref="C11:E11"/>
    <mergeCell ref="H11:I11"/>
    <mergeCell ref="B12:B19"/>
    <mergeCell ref="C12:E19"/>
    <mergeCell ref="G12:G19"/>
    <mergeCell ref="H12:I19"/>
  </mergeCells>
  <phoneticPr fontId="2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ACB03-494B-452C-A81D-61AA7F330E12}">
  <sheetPr codeName="Munka1"/>
  <dimension ref="A1:R170"/>
  <sheetViews>
    <sheetView workbookViewId="0"/>
  </sheetViews>
  <sheetFormatPr defaultRowHeight="15"/>
  <cols>
    <col min="1" max="1" width="28.85546875" bestFit="1" customWidth="1"/>
    <col min="2" max="2" width="13.140625" bestFit="1" customWidth="1"/>
    <col min="3" max="3" width="11" bestFit="1" customWidth="1"/>
    <col min="4" max="4" width="36.5703125" bestFit="1" customWidth="1"/>
    <col min="5" max="5" width="29.42578125" bestFit="1" customWidth="1"/>
    <col min="6" max="6" width="33" bestFit="1" customWidth="1"/>
    <col min="7" max="7" width="16.28515625" bestFit="1" customWidth="1"/>
    <col min="12" max="12" width="28.85546875" bestFit="1" customWidth="1"/>
    <col min="13" max="13" width="13.140625" bestFit="1" customWidth="1"/>
    <col min="14" max="14" width="11" bestFit="1" customWidth="1"/>
    <col min="15" max="15" width="36.5703125" bestFit="1" customWidth="1"/>
    <col min="16" max="16" width="29.42578125" bestFit="1" customWidth="1"/>
    <col min="17" max="17" width="33" bestFit="1" customWidth="1"/>
    <col min="18" max="18" width="16.28515625" bestFit="1" customWidth="1"/>
  </cols>
  <sheetData>
    <row r="1" spans="1:18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I1" s="44" t="s">
        <v>259</v>
      </c>
      <c r="J1" s="44"/>
      <c r="L1" s="42" t="s">
        <v>252</v>
      </c>
      <c r="M1" s="42" t="s">
        <v>253</v>
      </c>
      <c r="N1" s="42" t="s">
        <v>254</v>
      </c>
      <c r="O1" s="42" t="s">
        <v>255</v>
      </c>
      <c r="P1" s="42" t="s">
        <v>256</v>
      </c>
      <c r="Q1" s="42" t="s">
        <v>257</v>
      </c>
      <c r="R1" s="42" t="s">
        <v>258</v>
      </c>
    </row>
    <row r="2" spans="1:18">
      <c r="A2" t="s">
        <v>0</v>
      </c>
      <c r="B2">
        <v>460</v>
      </c>
      <c r="C2">
        <v>86000</v>
      </c>
      <c r="D2">
        <v>12</v>
      </c>
      <c r="E2">
        <v>41</v>
      </c>
      <c r="F2">
        <v>73</v>
      </c>
      <c r="G2">
        <v>10.18</v>
      </c>
      <c r="L2" t="s">
        <v>0</v>
      </c>
      <c r="M2" s="2">
        <f>STANDARDIZE(B2,AVERAGE(B$2:B$170),_xlfn.STDEV.S(B$2:B$170))</f>
        <v>-0.38409543043108263</v>
      </c>
      <c r="N2" s="2">
        <f t="shared" ref="N2:R2" si="0">STANDARDIZE(C2,AVERAGE(C$2:C$170),_xlfn.STDEV.S(C$2:C$170))</f>
        <v>-0.2779687834573854</v>
      </c>
      <c r="O2" s="2">
        <f t="shared" si="0"/>
        <v>-0.65355688687099933</v>
      </c>
      <c r="P2" s="2">
        <f t="shared" si="0"/>
        <v>0.2613560316492341</v>
      </c>
      <c r="Q2" s="2">
        <f t="shared" si="0"/>
        <v>0.39492433802352206</v>
      </c>
      <c r="R2" s="2">
        <f t="shared" si="0"/>
        <v>0.97423722433346938</v>
      </c>
    </row>
    <row r="3" spans="1:18">
      <c r="A3" t="s">
        <v>1</v>
      </c>
      <c r="B3">
        <v>340</v>
      </c>
      <c r="C3">
        <v>104890</v>
      </c>
      <c r="D3">
        <v>9</v>
      </c>
      <c r="E3">
        <v>33</v>
      </c>
      <c r="F3">
        <v>76</v>
      </c>
      <c r="G3">
        <v>9.32</v>
      </c>
      <c r="L3" t="s">
        <v>1</v>
      </c>
      <c r="M3" s="2">
        <f t="shared" ref="M3:M66" si="1">STANDARDIZE(B3,AVERAGE(B$2:B$170),_xlfn.STDEV.S(B$2:B$170))</f>
        <v>-0.38415670660914164</v>
      </c>
      <c r="N3" s="2">
        <f t="shared" ref="N3:N66" si="2">STANDARDIZE(C3,AVERAGE(C$2:C$170),_xlfn.STDEV.S(C$2:C$170))</f>
        <v>-0.27783811799120384</v>
      </c>
      <c r="O3" s="2">
        <f t="shared" ref="O3:O66" si="3">STANDARDIZE(D3,AVERAGE(D$2:D$170),_xlfn.STDEV.S(D$2:D$170))</f>
        <v>-0.75611131015902056</v>
      </c>
      <c r="P3" s="2">
        <f t="shared" ref="P3:P66" si="4">STANDARDIZE(E3,AVERAGE(E$2:E$170),_xlfn.STDEV.S(E$2:E$170))</f>
        <v>-2.733134971495246E-2</v>
      </c>
      <c r="Q3" s="2">
        <f t="shared" ref="Q3:Q66" si="5">STANDARDIZE(F3,AVERAGE(F$2:F$170),_xlfn.STDEV.S(F$2:F$170))</f>
        <v>0.69601702881739547</v>
      </c>
      <c r="R3" s="2">
        <f t="shared" ref="R3:R66" si="6">STANDARDIZE(G3,AVERAGE(G$2:G$170),_xlfn.STDEV.S(G$2:G$170))</f>
        <v>0.30519716487104842</v>
      </c>
    </row>
    <row r="4" spans="1:18">
      <c r="A4" t="s">
        <v>2</v>
      </c>
      <c r="B4">
        <v>390</v>
      </c>
      <c r="C4">
        <v>109365</v>
      </c>
      <c r="D4">
        <v>19</v>
      </c>
      <c r="E4">
        <v>70</v>
      </c>
      <c r="F4">
        <v>72</v>
      </c>
      <c r="G4">
        <v>9.2899999999999991</v>
      </c>
      <c r="L4" t="s">
        <v>2</v>
      </c>
      <c r="M4" s="2">
        <f t="shared" si="1"/>
        <v>-0.38413117486828374</v>
      </c>
      <c r="N4" s="2">
        <f t="shared" si="2"/>
        <v>-0.27780716362586966</v>
      </c>
      <c r="O4" s="2">
        <f t="shared" si="3"/>
        <v>-0.41426323253228309</v>
      </c>
      <c r="P4" s="2">
        <f t="shared" si="4"/>
        <v>1.3078477890944105</v>
      </c>
      <c r="Q4" s="2">
        <f t="shared" si="5"/>
        <v>0.29456010775889757</v>
      </c>
      <c r="R4" s="2">
        <f t="shared" si="6"/>
        <v>0.28185855814561422</v>
      </c>
    </row>
    <row r="5" spans="1:18">
      <c r="A5" t="s">
        <v>3</v>
      </c>
      <c r="B5">
        <v>960</v>
      </c>
      <c r="C5">
        <v>168526</v>
      </c>
      <c r="D5">
        <v>53</v>
      </c>
      <c r="E5">
        <v>19</v>
      </c>
      <c r="F5">
        <v>64</v>
      </c>
      <c r="G5">
        <v>7.63</v>
      </c>
      <c r="L5" t="s">
        <v>3</v>
      </c>
      <c r="M5" s="2">
        <f t="shared" si="1"/>
        <v>-0.38384011302250337</v>
      </c>
      <c r="N5" s="2">
        <f t="shared" si="2"/>
        <v>-0.27739793654038691</v>
      </c>
      <c r="O5" s="2">
        <f t="shared" si="3"/>
        <v>0.74802023139862428</v>
      </c>
      <c r="P5" s="2">
        <f t="shared" si="4"/>
        <v>-0.53253426710227902</v>
      </c>
      <c r="Q5" s="2">
        <f t="shared" si="5"/>
        <v>-0.50835373435809816</v>
      </c>
      <c r="R5" s="2">
        <f t="shared" si="6"/>
        <v>-1.0095443473283614</v>
      </c>
    </row>
    <row r="6" spans="1:18">
      <c r="A6" t="s">
        <v>4</v>
      </c>
      <c r="B6">
        <v>610</v>
      </c>
      <c r="C6">
        <v>176000</v>
      </c>
      <c r="D6">
        <v>14</v>
      </c>
      <c r="E6">
        <v>40</v>
      </c>
      <c r="F6">
        <v>74</v>
      </c>
      <c r="G6">
        <v>9.15</v>
      </c>
      <c r="L6" t="s">
        <v>4</v>
      </c>
      <c r="M6" s="2">
        <f t="shared" si="1"/>
        <v>-0.38401883520850888</v>
      </c>
      <c r="N6" s="2">
        <f t="shared" si="2"/>
        <v>-0.27734623756239635</v>
      </c>
      <c r="O6" s="2">
        <f t="shared" si="3"/>
        <v>-0.58518727134565185</v>
      </c>
      <c r="P6" s="2">
        <f t="shared" si="4"/>
        <v>0.2252701089787108</v>
      </c>
      <c r="Q6" s="2">
        <f t="shared" si="5"/>
        <v>0.49528856828814655</v>
      </c>
      <c r="R6" s="2">
        <f t="shared" si="6"/>
        <v>0.17294506009359309</v>
      </c>
    </row>
    <row r="7" spans="1:18">
      <c r="A7" t="s">
        <v>5</v>
      </c>
      <c r="B7">
        <v>430</v>
      </c>
      <c r="C7">
        <v>273925</v>
      </c>
      <c r="D7">
        <v>17</v>
      </c>
      <c r="E7">
        <v>70</v>
      </c>
      <c r="F7">
        <v>77</v>
      </c>
      <c r="G7">
        <v>9.8699999999999992</v>
      </c>
      <c r="L7" t="s">
        <v>5</v>
      </c>
      <c r="M7" s="2">
        <f t="shared" si="1"/>
        <v>-0.38411074947559737</v>
      </c>
      <c r="N7" s="2">
        <f t="shared" si="2"/>
        <v>-0.27666887304276522</v>
      </c>
      <c r="O7" s="2">
        <f t="shared" si="3"/>
        <v>-0.48263284805763057</v>
      </c>
      <c r="P7" s="2">
        <f t="shared" si="4"/>
        <v>1.3078477890944105</v>
      </c>
      <c r="Q7" s="2">
        <f t="shared" si="5"/>
        <v>0.79638125908201995</v>
      </c>
      <c r="R7" s="2">
        <f t="shared" si="6"/>
        <v>0.73307162150399152</v>
      </c>
    </row>
    <row r="8" spans="1:18">
      <c r="A8" t="s">
        <v>6</v>
      </c>
      <c r="B8">
        <v>100250</v>
      </c>
      <c r="C8">
        <v>319000</v>
      </c>
      <c r="D8">
        <v>2</v>
      </c>
      <c r="E8">
        <v>96</v>
      </c>
      <c r="F8">
        <v>81</v>
      </c>
      <c r="G8">
        <v>10.52</v>
      </c>
      <c r="L8" t="s">
        <v>6</v>
      </c>
      <c r="M8" s="2">
        <f t="shared" si="1"/>
        <v>-0.33313918202683851</v>
      </c>
      <c r="N8" s="2">
        <f t="shared" si="2"/>
        <v>-0.27635708130702485</v>
      </c>
      <c r="O8" s="2">
        <f t="shared" si="3"/>
        <v>-0.99540496449773674</v>
      </c>
      <c r="P8" s="2">
        <f t="shared" si="4"/>
        <v>2.2460817785280169</v>
      </c>
      <c r="Q8" s="2">
        <f t="shared" si="5"/>
        <v>1.1978381801405178</v>
      </c>
      <c r="R8" s="2">
        <f t="shared" si="6"/>
        <v>1.23874143388838</v>
      </c>
    </row>
    <row r="9" spans="1:18">
      <c r="A9" t="s">
        <v>7</v>
      </c>
      <c r="B9">
        <v>300</v>
      </c>
      <c r="C9">
        <v>320081</v>
      </c>
      <c r="D9">
        <v>14</v>
      </c>
      <c r="E9">
        <v>28</v>
      </c>
      <c r="F9">
        <v>77</v>
      </c>
      <c r="G9">
        <v>9.1</v>
      </c>
      <c r="L9" t="s">
        <v>7</v>
      </c>
      <c r="M9" s="2">
        <f t="shared" si="1"/>
        <v>-0.38417713200182801</v>
      </c>
      <c r="N9" s="2">
        <f t="shared" si="2"/>
        <v>-0.27634960383910839</v>
      </c>
      <c r="O9" s="2">
        <f t="shared" si="3"/>
        <v>-0.58518727134565185</v>
      </c>
      <c r="P9" s="2">
        <f t="shared" si="4"/>
        <v>-0.20776096306756908</v>
      </c>
      <c r="Q9" s="2">
        <f t="shared" si="5"/>
        <v>0.79638125908201995</v>
      </c>
      <c r="R9" s="2">
        <f t="shared" si="6"/>
        <v>0.13404738221787038</v>
      </c>
    </row>
    <row r="10" spans="1:18">
      <c r="A10" t="s">
        <v>8</v>
      </c>
      <c r="B10">
        <v>10010</v>
      </c>
      <c r="C10">
        <v>347176</v>
      </c>
      <c r="D10">
        <v>14</v>
      </c>
      <c r="E10">
        <v>43</v>
      </c>
      <c r="F10">
        <v>75</v>
      </c>
      <c r="G10">
        <v>10.38</v>
      </c>
      <c r="L10" t="s">
        <v>8</v>
      </c>
      <c r="M10" s="2">
        <f t="shared" si="1"/>
        <v>-0.37921886792721921</v>
      </c>
      <c r="N10" s="2">
        <f t="shared" si="2"/>
        <v>-0.27616218293883366</v>
      </c>
      <c r="O10" s="2">
        <f t="shared" si="3"/>
        <v>-0.58518727134565185</v>
      </c>
      <c r="P10" s="2">
        <f t="shared" si="4"/>
        <v>0.33352787699028075</v>
      </c>
      <c r="Q10" s="2">
        <f t="shared" si="5"/>
        <v>0.59565279855277098</v>
      </c>
      <c r="R10" s="2">
        <f t="shared" si="6"/>
        <v>1.129827935836359</v>
      </c>
    </row>
    <row r="11" spans="1:18">
      <c r="A11" t="s">
        <v>9</v>
      </c>
      <c r="B11">
        <v>22810</v>
      </c>
      <c r="C11">
        <v>356600</v>
      </c>
      <c r="D11">
        <v>14</v>
      </c>
      <c r="E11">
        <v>13</v>
      </c>
      <c r="F11">
        <v>76</v>
      </c>
      <c r="G11">
        <v>8.81</v>
      </c>
      <c r="L11" t="s">
        <v>9</v>
      </c>
      <c r="M11" s="2">
        <f t="shared" si="1"/>
        <v>-0.37268274226759074</v>
      </c>
      <c r="N11" s="2">
        <f t="shared" si="2"/>
        <v>-0.27609699546645167</v>
      </c>
      <c r="O11" s="2">
        <f t="shared" si="3"/>
        <v>-0.58518727134565185</v>
      </c>
      <c r="P11" s="2">
        <f t="shared" si="4"/>
        <v>-0.74904980312541891</v>
      </c>
      <c r="Q11" s="2">
        <f t="shared" si="5"/>
        <v>0.69601702881739547</v>
      </c>
      <c r="R11" s="2">
        <f t="shared" si="6"/>
        <v>-9.1559149461317574E-2</v>
      </c>
    </row>
    <row r="12" spans="1:18">
      <c r="A12" t="s">
        <v>10</v>
      </c>
      <c r="B12">
        <v>5270</v>
      </c>
      <c r="C12">
        <v>405938</v>
      </c>
      <c r="D12">
        <v>6</v>
      </c>
      <c r="E12">
        <v>50</v>
      </c>
      <c r="F12">
        <v>78</v>
      </c>
      <c r="G12">
        <v>10.83</v>
      </c>
      <c r="L12" t="s">
        <v>10</v>
      </c>
      <c r="M12" s="2">
        <f t="shared" si="1"/>
        <v>-0.38163927696055039</v>
      </c>
      <c r="N12" s="2">
        <f t="shared" si="2"/>
        <v>-0.27575571580681868</v>
      </c>
      <c r="O12" s="2">
        <f t="shared" si="3"/>
        <v>-0.85866573344704178</v>
      </c>
      <c r="P12" s="2">
        <f t="shared" si="4"/>
        <v>0.58612933568394399</v>
      </c>
      <c r="Q12" s="2">
        <f t="shared" si="5"/>
        <v>0.89674548934664444</v>
      </c>
      <c r="R12" s="2">
        <f t="shared" si="6"/>
        <v>1.4799070367178579</v>
      </c>
    </row>
    <row r="13" spans="1:18">
      <c r="A13" t="s">
        <v>11</v>
      </c>
      <c r="B13">
        <v>320</v>
      </c>
      <c r="C13">
        <v>419000</v>
      </c>
      <c r="D13">
        <v>5</v>
      </c>
      <c r="E13">
        <v>63</v>
      </c>
      <c r="F13">
        <v>81</v>
      </c>
      <c r="G13">
        <v>10.210000000000001</v>
      </c>
      <c r="L13" t="s">
        <v>11</v>
      </c>
      <c r="M13" s="2">
        <f t="shared" si="1"/>
        <v>-0.3841669193054848</v>
      </c>
      <c r="N13" s="2">
        <f t="shared" si="2"/>
        <v>-0.27566536364592592</v>
      </c>
      <c r="O13" s="2">
        <f t="shared" si="3"/>
        <v>-0.89285054120971552</v>
      </c>
      <c r="P13" s="2">
        <f t="shared" si="4"/>
        <v>1.0552463304007473</v>
      </c>
      <c r="Q13" s="2">
        <f t="shared" si="5"/>
        <v>1.1978381801405178</v>
      </c>
      <c r="R13" s="2">
        <f t="shared" si="6"/>
        <v>0.99757583105890357</v>
      </c>
    </row>
    <row r="14" spans="1:18">
      <c r="A14" t="s">
        <v>12</v>
      </c>
      <c r="B14">
        <v>4030</v>
      </c>
      <c r="C14">
        <v>500585</v>
      </c>
      <c r="D14">
        <v>29</v>
      </c>
      <c r="E14">
        <v>30</v>
      </c>
      <c r="F14">
        <v>74</v>
      </c>
      <c r="G14">
        <v>8.32</v>
      </c>
      <c r="L14" t="s">
        <v>12</v>
      </c>
      <c r="M14" s="2">
        <f t="shared" si="1"/>
        <v>-0.38227246413382687</v>
      </c>
      <c r="N14" s="2">
        <f t="shared" si="2"/>
        <v>-0.27510102579211831</v>
      </c>
      <c r="O14" s="2">
        <f t="shared" si="3"/>
        <v>-7.241515490554562E-2</v>
      </c>
      <c r="P14" s="2">
        <f t="shared" si="4"/>
        <v>-0.13558911772652243</v>
      </c>
      <c r="Q14" s="2">
        <f t="shared" si="5"/>
        <v>0.49528856828814655</v>
      </c>
      <c r="R14" s="2">
        <f t="shared" si="6"/>
        <v>-0.47275639264339503</v>
      </c>
    </row>
    <row r="15" spans="1:18">
      <c r="A15" t="s">
        <v>13</v>
      </c>
      <c r="B15">
        <v>2590</v>
      </c>
      <c r="C15">
        <v>517000</v>
      </c>
      <c r="D15">
        <v>2</v>
      </c>
      <c r="E15">
        <v>90</v>
      </c>
      <c r="F15">
        <v>80</v>
      </c>
      <c r="G15">
        <v>11.39</v>
      </c>
      <c r="L15" t="s">
        <v>13</v>
      </c>
      <c r="M15" s="2">
        <f t="shared" si="1"/>
        <v>-0.38300777827053506</v>
      </c>
      <c r="N15" s="2">
        <f t="shared" si="2"/>
        <v>-0.27498748033804893</v>
      </c>
      <c r="O15" s="2">
        <f t="shared" si="3"/>
        <v>-0.99540496449773674</v>
      </c>
      <c r="P15" s="2">
        <f t="shared" si="4"/>
        <v>2.029566242504877</v>
      </c>
      <c r="Q15" s="2">
        <f t="shared" si="5"/>
        <v>1.0974739498758934</v>
      </c>
      <c r="R15" s="2">
        <f t="shared" si="6"/>
        <v>1.9155610289259466</v>
      </c>
    </row>
    <row r="16" spans="1:18">
      <c r="A16" t="s">
        <v>14</v>
      </c>
      <c r="B16">
        <v>156000</v>
      </c>
      <c r="C16">
        <v>529419</v>
      </c>
      <c r="D16">
        <v>27</v>
      </c>
      <c r="E16">
        <v>32</v>
      </c>
      <c r="F16">
        <v>70</v>
      </c>
      <c r="G16">
        <v>8.9700000000000006</v>
      </c>
      <c r="L16" t="s">
        <v>14</v>
      </c>
      <c r="M16" s="2">
        <f t="shared" si="1"/>
        <v>-0.30467129097025353</v>
      </c>
      <c r="N16" s="2">
        <f t="shared" si="2"/>
        <v>-0.27490157592171705</v>
      </c>
      <c r="O16" s="2">
        <f t="shared" si="3"/>
        <v>-0.1407847704308931</v>
      </c>
      <c r="P16" s="2">
        <f t="shared" si="4"/>
        <v>-6.3417272385475787E-2</v>
      </c>
      <c r="Q16" s="2">
        <f t="shared" si="5"/>
        <v>9.3831647229648638E-2</v>
      </c>
      <c r="R16" s="2">
        <f t="shared" si="6"/>
        <v>3.2913419740993495E-2</v>
      </c>
    </row>
    <row r="17" spans="1:18">
      <c r="A17" t="s">
        <v>15</v>
      </c>
      <c r="B17">
        <v>27990</v>
      </c>
      <c r="C17">
        <v>552267</v>
      </c>
      <c r="D17">
        <v>23</v>
      </c>
      <c r="E17">
        <v>5</v>
      </c>
      <c r="F17">
        <v>67</v>
      </c>
      <c r="G17">
        <v>7.99</v>
      </c>
      <c r="L17" t="s">
        <v>15</v>
      </c>
      <c r="M17" s="2">
        <f t="shared" si="1"/>
        <v>-0.37003765391470983</v>
      </c>
      <c r="N17" s="2">
        <f t="shared" si="2"/>
        <v>-0.27474353227050918</v>
      </c>
      <c r="O17" s="2">
        <f t="shared" si="3"/>
        <v>-0.27752400148158812</v>
      </c>
      <c r="P17" s="2">
        <f t="shared" si="4"/>
        <v>-1.0377371844896055</v>
      </c>
      <c r="Q17" s="2">
        <f t="shared" si="5"/>
        <v>-0.20726104356422478</v>
      </c>
      <c r="R17" s="2">
        <f t="shared" si="6"/>
        <v>-0.72948106662316148</v>
      </c>
    </row>
    <row r="18" spans="1:18">
      <c r="A18" t="s">
        <v>16</v>
      </c>
      <c r="B18">
        <v>28050</v>
      </c>
      <c r="C18">
        <v>720213</v>
      </c>
      <c r="D18">
        <v>81</v>
      </c>
      <c r="E18">
        <v>6</v>
      </c>
      <c r="F18">
        <v>51</v>
      </c>
      <c r="G18">
        <v>10.51</v>
      </c>
      <c r="L18" t="s">
        <v>16</v>
      </c>
      <c r="M18" s="2">
        <f t="shared" si="1"/>
        <v>-0.37000701582568035</v>
      </c>
      <c r="N18" s="2">
        <f t="shared" si="2"/>
        <v>-0.2735818201273999</v>
      </c>
      <c r="O18" s="2">
        <f t="shared" si="3"/>
        <v>1.7051948487534891</v>
      </c>
      <c r="P18" s="2">
        <f t="shared" si="4"/>
        <v>-1.0016512618190823</v>
      </c>
      <c r="Q18" s="2">
        <f t="shared" si="5"/>
        <v>-1.8130887277982164</v>
      </c>
      <c r="R18" s="2">
        <f t="shared" si="6"/>
        <v>1.2309618983132358</v>
      </c>
    </row>
    <row r="19" spans="1:18">
      <c r="A19" t="s">
        <v>17</v>
      </c>
      <c r="B19">
        <v>38390</v>
      </c>
      <c r="C19">
        <v>738267</v>
      </c>
      <c r="D19">
        <v>44</v>
      </c>
      <c r="E19">
        <v>14</v>
      </c>
      <c r="F19">
        <v>67</v>
      </c>
      <c r="G19">
        <v>8.67</v>
      </c>
      <c r="L19" t="s">
        <v>17</v>
      </c>
      <c r="M19" s="2">
        <f t="shared" si="1"/>
        <v>-0.36472705181626169</v>
      </c>
      <c r="N19" s="2">
        <f t="shared" si="2"/>
        <v>-0.27345693742086513</v>
      </c>
      <c r="O19" s="2">
        <f t="shared" si="3"/>
        <v>0.44035696153456061</v>
      </c>
      <c r="P19" s="2">
        <f t="shared" si="4"/>
        <v>-0.71296388045489556</v>
      </c>
      <c r="Q19" s="2">
        <f t="shared" si="5"/>
        <v>-0.20726104356422478</v>
      </c>
      <c r="R19" s="2">
        <f t="shared" si="6"/>
        <v>-0.2004726475133401</v>
      </c>
    </row>
    <row r="20" spans="1:18">
      <c r="A20" t="s">
        <v>18</v>
      </c>
      <c r="B20">
        <v>1860</v>
      </c>
      <c r="C20">
        <v>753943</v>
      </c>
      <c r="D20">
        <v>63</v>
      </c>
      <c r="E20">
        <v>5</v>
      </c>
      <c r="F20">
        <v>61</v>
      </c>
      <c r="G20">
        <v>7.02</v>
      </c>
      <c r="L20" t="s">
        <v>18</v>
      </c>
      <c r="M20" s="2">
        <f t="shared" si="1"/>
        <v>-0.38338054168706076</v>
      </c>
      <c r="N20" s="2">
        <f t="shared" si="2"/>
        <v>-0.27334850376031122</v>
      </c>
      <c r="O20" s="2">
        <f t="shared" si="3"/>
        <v>1.0898683090253618</v>
      </c>
      <c r="P20" s="2">
        <f t="shared" si="4"/>
        <v>-1.0377371844896055</v>
      </c>
      <c r="Q20" s="2">
        <f t="shared" si="5"/>
        <v>-0.80944642515197163</v>
      </c>
      <c r="R20" s="2">
        <f t="shared" si="6"/>
        <v>-1.4840960174121722</v>
      </c>
    </row>
    <row r="21" spans="1:18">
      <c r="A21" t="s">
        <v>19</v>
      </c>
      <c r="B21">
        <v>196850</v>
      </c>
      <c r="C21">
        <v>756040</v>
      </c>
      <c r="D21">
        <v>25</v>
      </c>
      <c r="E21">
        <v>30</v>
      </c>
      <c r="F21">
        <v>70</v>
      </c>
      <c r="G21">
        <v>8.14</v>
      </c>
      <c r="L21" t="s">
        <v>19</v>
      </c>
      <c r="M21" s="2">
        <f t="shared" si="1"/>
        <v>-0.2838118586893299</v>
      </c>
      <c r="N21" s="2">
        <f t="shared" si="2"/>
        <v>-0.27333399844095801</v>
      </c>
      <c r="O21" s="2">
        <f t="shared" si="3"/>
        <v>-0.20915438595624061</v>
      </c>
      <c r="P21" s="2">
        <f t="shared" si="4"/>
        <v>-0.13558911772652243</v>
      </c>
      <c r="Q21" s="2">
        <f t="shared" si="5"/>
        <v>9.3831647229648638E-2</v>
      </c>
      <c r="R21" s="2">
        <f t="shared" si="6"/>
        <v>-0.6127880329959946</v>
      </c>
    </row>
    <row r="22" spans="1:18">
      <c r="A22" t="s">
        <v>20</v>
      </c>
      <c r="B22">
        <v>18270</v>
      </c>
      <c r="C22">
        <v>868406</v>
      </c>
      <c r="D22">
        <v>15</v>
      </c>
      <c r="E22">
        <v>15</v>
      </c>
      <c r="F22">
        <v>69</v>
      </c>
      <c r="G22">
        <v>8.4700000000000006</v>
      </c>
      <c r="L22" t="s">
        <v>20</v>
      </c>
      <c r="M22" s="2">
        <f t="shared" si="1"/>
        <v>-0.37500102433749022</v>
      </c>
      <c r="N22" s="2">
        <f t="shared" si="2"/>
        <v>-0.27255674297388754</v>
      </c>
      <c r="O22" s="2">
        <f t="shared" si="3"/>
        <v>-0.55100246358297811</v>
      </c>
      <c r="P22" s="2">
        <f t="shared" si="4"/>
        <v>-0.67687795778437232</v>
      </c>
      <c r="Q22" s="2">
        <f t="shared" si="5"/>
        <v>-6.5325830349758363E-3</v>
      </c>
      <c r="R22" s="2">
        <f t="shared" si="6"/>
        <v>-0.35606335901622826</v>
      </c>
    </row>
    <row r="23" spans="1:18">
      <c r="A23" t="s">
        <v>21</v>
      </c>
      <c r="B23">
        <v>23180</v>
      </c>
      <c r="C23">
        <v>905564</v>
      </c>
      <c r="D23">
        <v>73</v>
      </c>
      <c r="E23">
        <v>7</v>
      </c>
      <c r="F23">
        <v>58</v>
      </c>
      <c r="G23">
        <v>7.74</v>
      </c>
      <c r="L23" t="s">
        <v>21</v>
      </c>
      <c r="M23" s="2">
        <f t="shared" si="1"/>
        <v>-0.37249380738524213</v>
      </c>
      <c r="N23" s="2">
        <f t="shared" si="2"/>
        <v>-0.27229971452537638</v>
      </c>
      <c r="O23" s="2">
        <f t="shared" si="3"/>
        <v>1.4317163866520992</v>
      </c>
      <c r="P23" s="2">
        <f t="shared" si="4"/>
        <v>-0.96556533914855891</v>
      </c>
      <c r="Q23" s="2">
        <f t="shared" si="5"/>
        <v>-1.1105391159458451</v>
      </c>
      <c r="R23" s="2">
        <f t="shared" si="6"/>
        <v>-0.92396945600177227</v>
      </c>
    </row>
    <row r="24" spans="1:18">
      <c r="A24" t="s">
        <v>22</v>
      </c>
      <c r="B24">
        <v>17200</v>
      </c>
      <c r="C24">
        <v>1067773</v>
      </c>
      <c r="D24">
        <v>55</v>
      </c>
      <c r="E24">
        <v>9</v>
      </c>
      <c r="F24">
        <v>48</v>
      </c>
      <c r="G24">
        <v>8.7200000000000006</v>
      </c>
      <c r="L24" t="s">
        <v>22</v>
      </c>
      <c r="M24" s="2">
        <f t="shared" si="1"/>
        <v>-0.37554740359184979</v>
      </c>
      <c r="N24" s="2">
        <f t="shared" si="2"/>
        <v>-0.2711776862244844</v>
      </c>
      <c r="O24" s="2">
        <f t="shared" si="3"/>
        <v>0.81638984692397176</v>
      </c>
      <c r="P24" s="2">
        <f t="shared" si="4"/>
        <v>-0.89339349380751221</v>
      </c>
      <c r="Q24" s="2">
        <f t="shared" si="5"/>
        <v>-2.1141814185920897</v>
      </c>
      <c r="R24" s="2">
        <f t="shared" si="6"/>
        <v>-0.16157496963761739</v>
      </c>
    </row>
    <row r="25" spans="1:18">
      <c r="A25" t="s">
        <v>23</v>
      </c>
      <c r="B25">
        <v>9240</v>
      </c>
      <c r="C25">
        <v>1116564</v>
      </c>
      <c r="D25">
        <v>3</v>
      </c>
      <c r="E25">
        <v>53</v>
      </c>
      <c r="F25">
        <v>79</v>
      </c>
      <c r="G25">
        <v>10.38</v>
      </c>
      <c r="L25" t="s">
        <v>23</v>
      </c>
      <c r="M25" s="2">
        <f t="shared" si="1"/>
        <v>-0.37961205673643122</v>
      </c>
      <c r="N25" s="2">
        <f t="shared" si="2"/>
        <v>-0.27084019026045764</v>
      </c>
      <c r="O25" s="2">
        <f t="shared" si="3"/>
        <v>-0.961220156735063</v>
      </c>
      <c r="P25" s="2">
        <f t="shared" si="4"/>
        <v>0.69438710369551404</v>
      </c>
      <c r="Q25" s="2">
        <f t="shared" si="5"/>
        <v>0.99710971961126893</v>
      </c>
      <c r="R25" s="2">
        <f t="shared" si="6"/>
        <v>1.129827935836359</v>
      </c>
    </row>
    <row r="26" spans="1:18">
      <c r="A26" t="s">
        <v>24</v>
      </c>
      <c r="B26">
        <v>14870</v>
      </c>
      <c r="C26">
        <v>1175880</v>
      </c>
      <c r="D26">
        <v>56</v>
      </c>
      <c r="E26">
        <v>0</v>
      </c>
      <c r="F26">
        <v>62</v>
      </c>
      <c r="G26">
        <v>7.37</v>
      </c>
      <c r="L26" t="s">
        <v>24</v>
      </c>
      <c r="M26" s="2">
        <f t="shared" si="1"/>
        <v>-0.37673718271582901</v>
      </c>
      <c r="N26" s="2">
        <f t="shared" si="2"/>
        <v>-0.27042989101260018</v>
      </c>
      <c r="O26" s="2">
        <f t="shared" si="3"/>
        <v>0.8505746546866455</v>
      </c>
      <c r="P26" s="2">
        <f t="shared" si="4"/>
        <v>-1.2181667978422221</v>
      </c>
      <c r="Q26" s="2">
        <f t="shared" si="5"/>
        <v>-0.70908219488734714</v>
      </c>
      <c r="R26" s="2">
        <f t="shared" si="6"/>
        <v>-1.2118122722821165</v>
      </c>
    </row>
    <row r="27" spans="1:18">
      <c r="A27" t="s">
        <v>25</v>
      </c>
      <c r="B27">
        <v>2030</v>
      </c>
      <c r="C27">
        <v>1286051</v>
      </c>
      <c r="D27">
        <v>13</v>
      </c>
      <c r="E27">
        <v>29</v>
      </c>
      <c r="F27">
        <v>73</v>
      </c>
      <c r="G27">
        <v>9.58</v>
      </c>
      <c r="L27" t="s">
        <v>25</v>
      </c>
      <c r="M27" s="2">
        <f t="shared" si="1"/>
        <v>-0.38329373376814385</v>
      </c>
      <c r="N27" s="2">
        <f t="shared" si="2"/>
        <v>-0.26966781874819085</v>
      </c>
      <c r="O27" s="2">
        <f t="shared" si="3"/>
        <v>-0.61937207910832559</v>
      </c>
      <c r="P27" s="2">
        <f t="shared" si="4"/>
        <v>-0.17167504039704576</v>
      </c>
      <c r="Q27" s="2">
        <f t="shared" si="5"/>
        <v>0.39492433802352206</v>
      </c>
      <c r="R27" s="2">
        <f t="shared" si="6"/>
        <v>0.50746508982480354</v>
      </c>
    </row>
    <row r="28" spans="1:18">
      <c r="A28" t="s">
        <v>26</v>
      </c>
      <c r="B28">
        <v>760</v>
      </c>
      <c r="C28">
        <v>1323535</v>
      </c>
      <c r="D28">
        <v>9</v>
      </c>
      <c r="E28">
        <v>55</v>
      </c>
      <c r="F28">
        <v>75</v>
      </c>
      <c r="G28">
        <v>10.07</v>
      </c>
      <c r="L28" t="s">
        <v>26</v>
      </c>
      <c r="M28" s="2">
        <f t="shared" si="1"/>
        <v>-0.38394223998593507</v>
      </c>
      <c r="N28" s="2">
        <f t="shared" si="2"/>
        <v>-0.2694085353001045</v>
      </c>
      <c r="O28" s="2">
        <f t="shared" si="3"/>
        <v>-0.75611131015902056</v>
      </c>
      <c r="P28" s="2">
        <f t="shared" si="4"/>
        <v>0.76655894903656063</v>
      </c>
      <c r="Q28" s="2">
        <f t="shared" si="5"/>
        <v>0.59565279855277098</v>
      </c>
      <c r="R28" s="2">
        <f t="shared" si="6"/>
        <v>0.88866233300688102</v>
      </c>
    </row>
    <row r="29" spans="1:18">
      <c r="A29" t="s">
        <v>27</v>
      </c>
      <c r="B29">
        <v>42390</v>
      </c>
      <c r="C29">
        <v>1340000</v>
      </c>
      <c r="D29">
        <v>4</v>
      </c>
      <c r="E29">
        <v>74</v>
      </c>
      <c r="F29">
        <v>75</v>
      </c>
      <c r="G29">
        <v>10.02</v>
      </c>
      <c r="L29" t="s">
        <v>27</v>
      </c>
      <c r="M29" s="2">
        <f t="shared" si="1"/>
        <v>-0.36268451254762779</v>
      </c>
      <c r="N29" s="2">
        <f t="shared" si="2"/>
        <v>-0.26929464398720454</v>
      </c>
      <c r="O29" s="2">
        <f t="shared" si="3"/>
        <v>-0.92703534897238926</v>
      </c>
      <c r="P29" s="2">
        <f t="shared" si="4"/>
        <v>1.4521914797765039</v>
      </c>
      <c r="Q29" s="2">
        <f t="shared" si="5"/>
        <v>0.59565279855277098</v>
      </c>
      <c r="R29" s="2">
        <f t="shared" si="6"/>
        <v>0.84976465513115829</v>
      </c>
    </row>
    <row r="30" spans="1:18">
      <c r="A30" t="s">
        <v>28</v>
      </c>
      <c r="B30">
        <v>5130</v>
      </c>
      <c r="C30">
        <v>1346350</v>
      </c>
      <c r="D30">
        <v>24</v>
      </c>
      <c r="E30">
        <v>49</v>
      </c>
      <c r="F30">
        <v>70</v>
      </c>
      <c r="G30">
        <v>10.16</v>
      </c>
      <c r="L30" t="s">
        <v>28</v>
      </c>
      <c r="M30" s="2">
        <f t="shared" si="1"/>
        <v>-0.38171076583495256</v>
      </c>
      <c r="N30" s="2">
        <f t="shared" si="2"/>
        <v>-0.26925071991572475</v>
      </c>
      <c r="O30" s="2">
        <f t="shared" si="3"/>
        <v>-0.24333919371891435</v>
      </c>
      <c r="P30" s="2">
        <f t="shared" si="4"/>
        <v>0.55004341301342075</v>
      </c>
      <c r="Q30" s="2">
        <f t="shared" si="5"/>
        <v>9.3831647229648638E-2</v>
      </c>
      <c r="R30" s="2">
        <f t="shared" si="6"/>
        <v>0.95867815318318084</v>
      </c>
    </row>
    <row r="31" spans="1:18">
      <c r="A31" t="s">
        <v>29</v>
      </c>
      <c r="B31">
        <v>257670</v>
      </c>
      <c r="C31">
        <v>1534262</v>
      </c>
      <c r="D31">
        <v>54</v>
      </c>
      <c r="E31">
        <v>7</v>
      </c>
      <c r="F31">
        <v>62</v>
      </c>
      <c r="G31">
        <v>9.68</v>
      </c>
      <c r="L31" t="s">
        <v>29</v>
      </c>
      <c r="M31" s="2">
        <f t="shared" si="1"/>
        <v>-0.2527550491097515</v>
      </c>
      <c r="N31" s="2">
        <f t="shared" si="2"/>
        <v>-0.26795089942440048</v>
      </c>
      <c r="O31" s="2">
        <f t="shared" si="3"/>
        <v>0.78220503916129802</v>
      </c>
      <c r="P31" s="2">
        <f t="shared" si="4"/>
        <v>-0.96556533914855891</v>
      </c>
      <c r="Q31" s="2">
        <f t="shared" si="5"/>
        <v>-0.70908219488734714</v>
      </c>
      <c r="R31" s="2">
        <f t="shared" si="6"/>
        <v>0.58526044557624768</v>
      </c>
    </row>
    <row r="32" spans="1:18">
      <c r="A32" t="s">
        <v>30</v>
      </c>
      <c r="B32">
        <v>28120</v>
      </c>
      <c r="C32">
        <v>1547061</v>
      </c>
      <c r="D32">
        <v>92</v>
      </c>
      <c r="E32">
        <v>2</v>
      </c>
      <c r="F32">
        <v>48</v>
      </c>
      <c r="G32">
        <v>7.13</v>
      </c>
      <c r="L32" t="s">
        <v>30</v>
      </c>
      <c r="M32" s="2">
        <f t="shared" si="1"/>
        <v>-0.36997127138847924</v>
      </c>
      <c r="N32" s="2">
        <f t="shared" si="2"/>
        <v>-0.26786236648095646</v>
      </c>
      <c r="O32" s="2">
        <f t="shared" si="3"/>
        <v>2.0812277341429004</v>
      </c>
      <c r="P32" s="2">
        <f t="shared" si="4"/>
        <v>-1.1459949525011754</v>
      </c>
      <c r="Q32" s="2">
        <f t="shared" si="5"/>
        <v>-2.1141814185920897</v>
      </c>
      <c r="R32" s="2">
        <f t="shared" si="6"/>
        <v>-1.398521126085583</v>
      </c>
    </row>
    <row r="33" spans="1:18">
      <c r="A33" t="s">
        <v>31</v>
      </c>
      <c r="B33">
        <v>10000</v>
      </c>
      <c r="C33">
        <v>1776103</v>
      </c>
      <c r="D33">
        <v>57</v>
      </c>
      <c r="E33">
        <v>9</v>
      </c>
      <c r="F33">
        <v>58</v>
      </c>
      <c r="G33">
        <v>7.67</v>
      </c>
      <c r="L33" t="s">
        <v>31</v>
      </c>
      <c r="M33" s="2">
        <f t="shared" si="1"/>
        <v>-0.37922397427539078</v>
      </c>
      <c r="N33" s="2">
        <f t="shared" si="2"/>
        <v>-0.2662780425156222</v>
      </c>
      <c r="O33" s="2">
        <f t="shared" si="3"/>
        <v>0.88475946244931925</v>
      </c>
      <c r="P33" s="2">
        <f t="shared" si="4"/>
        <v>-0.89339349380751221</v>
      </c>
      <c r="Q33" s="2">
        <f t="shared" si="5"/>
        <v>-1.1105391159458451</v>
      </c>
      <c r="R33" s="2">
        <f t="shared" si="6"/>
        <v>-0.97842620502778355</v>
      </c>
    </row>
    <row r="34" spans="1:18">
      <c r="A34" t="s">
        <v>32</v>
      </c>
      <c r="B34">
        <v>11590</v>
      </c>
      <c r="C34">
        <v>1870041</v>
      </c>
      <c r="D34">
        <v>7</v>
      </c>
      <c r="E34">
        <v>82</v>
      </c>
      <c r="F34">
        <v>78</v>
      </c>
      <c r="G34">
        <v>11.4</v>
      </c>
      <c r="L34" t="s">
        <v>32</v>
      </c>
      <c r="M34" s="2">
        <f t="shared" si="1"/>
        <v>-0.37841206491610879</v>
      </c>
      <c r="N34" s="2">
        <f t="shared" si="2"/>
        <v>-0.26562825677913904</v>
      </c>
      <c r="O34" s="2">
        <f t="shared" si="3"/>
        <v>-0.82448092568436804</v>
      </c>
      <c r="P34" s="2">
        <f t="shared" si="4"/>
        <v>1.7408788611406905</v>
      </c>
      <c r="Q34" s="2">
        <f t="shared" si="5"/>
        <v>0.89674548934664444</v>
      </c>
      <c r="R34" s="2">
        <f t="shared" si="6"/>
        <v>1.923340564501091</v>
      </c>
    </row>
    <row r="35" spans="1:18">
      <c r="A35" t="s">
        <v>33</v>
      </c>
      <c r="B35">
        <v>566730</v>
      </c>
      <c r="C35">
        <v>2030738</v>
      </c>
      <c r="D35">
        <v>36</v>
      </c>
      <c r="E35">
        <v>6</v>
      </c>
      <c r="F35">
        <v>53</v>
      </c>
      <c r="G35">
        <v>9.6</v>
      </c>
      <c r="L35" t="s">
        <v>33</v>
      </c>
      <c r="M35" s="2">
        <f t="shared" si="1"/>
        <v>-9.4938252518753444E-2</v>
      </c>
      <c r="N35" s="2">
        <f t="shared" si="2"/>
        <v>-0.26451668724928284</v>
      </c>
      <c r="O35" s="2">
        <f t="shared" si="3"/>
        <v>0.1668784994331706</v>
      </c>
      <c r="P35" s="2">
        <f t="shared" si="4"/>
        <v>-1.0016512618190823</v>
      </c>
      <c r="Q35" s="2">
        <f t="shared" si="5"/>
        <v>-1.6123602672689674</v>
      </c>
      <c r="R35" s="2">
        <f t="shared" si="6"/>
        <v>0.52302416097509208</v>
      </c>
    </row>
    <row r="36" spans="1:18">
      <c r="A36" t="s">
        <v>34</v>
      </c>
      <c r="B36">
        <v>20140</v>
      </c>
      <c r="C36">
        <v>2052000</v>
      </c>
      <c r="D36">
        <v>2</v>
      </c>
      <c r="E36">
        <v>69</v>
      </c>
      <c r="F36">
        <v>79</v>
      </c>
      <c r="G36">
        <v>10.220000000000001</v>
      </c>
      <c r="L36" t="s">
        <v>34</v>
      </c>
      <c r="M36" s="2">
        <f t="shared" si="1"/>
        <v>-0.37404613722940389</v>
      </c>
      <c r="N36" s="2">
        <f t="shared" si="2"/>
        <v>-0.26436961424018002</v>
      </c>
      <c r="O36" s="2">
        <f t="shared" si="3"/>
        <v>-0.99540496449773674</v>
      </c>
      <c r="P36" s="2">
        <f t="shared" si="4"/>
        <v>1.2717618664238872</v>
      </c>
      <c r="Q36" s="2">
        <f t="shared" si="5"/>
        <v>0.99710971961126893</v>
      </c>
      <c r="R36" s="2">
        <f t="shared" si="6"/>
        <v>1.0053553666340478</v>
      </c>
    </row>
    <row r="37" spans="1:18">
      <c r="A37" t="s">
        <v>35</v>
      </c>
      <c r="B37">
        <v>25220</v>
      </c>
      <c r="C37">
        <v>2063893</v>
      </c>
      <c r="D37">
        <v>10</v>
      </c>
      <c r="E37">
        <v>52</v>
      </c>
      <c r="F37">
        <v>75</v>
      </c>
      <c r="G37">
        <v>9.36</v>
      </c>
      <c r="L37" t="s">
        <v>35</v>
      </c>
      <c r="M37" s="2">
        <f t="shared" si="1"/>
        <v>-0.37145211235823883</v>
      </c>
      <c r="N37" s="2">
        <f t="shared" si="2"/>
        <v>-0.2642873482587455</v>
      </c>
      <c r="O37" s="2">
        <f t="shared" si="3"/>
        <v>-0.72192650239634681</v>
      </c>
      <c r="P37" s="2">
        <f t="shared" si="4"/>
        <v>0.65830118102499069</v>
      </c>
      <c r="Q37" s="2">
        <f t="shared" si="5"/>
        <v>0.59565279855277098</v>
      </c>
      <c r="R37" s="2">
        <f t="shared" si="6"/>
        <v>0.3363153071716255</v>
      </c>
    </row>
    <row r="38" spans="1:18">
      <c r="A38" t="s">
        <v>36</v>
      </c>
      <c r="B38">
        <v>30360</v>
      </c>
      <c r="C38">
        <v>2193843</v>
      </c>
      <c r="D38">
        <v>65</v>
      </c>
      <c r="E38">
        <v>4</v>
      </c>
      <c r="F38">
        <v>47</v>
      </c>
      <c r="G38">
        <v>7.45</v>
      </c>
      <c r="L38" t="s">
        <v>36</v>
      </c>
      <c r="M38" s="2">
        <f t="shared" si="1"/>
        <v>-0.36882744939804424</v>
      </c>
      <c r="N38" s="2">
        <f t="shared" si="2"/>
        <v>-0.2633884611581474</v>
      </c>
      <c r="O38" s="2">
        <f t="shared" si="3"/>
        <v>1.1582379245507091</v>
      </c>
      <c r="P38" s="2">
        <f t="shared" si="4"/>
        <v>-1.0738231071601287</v>
      </c>
      <c r="Q38" s="2">
        <f t="shared" si="5"/>
        <v>-2.2145456488567143</v>
      </c>
      <c r="R38" s="2">
        <f t="shared" si="6"/>
        <v>-1.149575987680961</v>
      </c>
    </row>
    <row r="39" spans="1:18">
      <c r="A39" t="s">
        <v>37</v>
      </c>
      <c r="B39">
        <v>62180</v>
      </c>
      <c r="C39">
        <v>2220000</v>
      </c>
      <c r="D39">
        <v>8</v>
      </c>
      <c r="E39">
        <v>72</v>
      </c>
      <c r="F39">
        <v>73</v>
      </c>
      <c r="G39">
        <v>9.7799999999999994</v>
      </c>
      <c r="L39" t="s">
        <v>37</v>
      </c>
      <c r="M39" s="2">
        <f t="shared" si="1"/>
        <v>-0.35257904951606162</v>
      </c>
      <c r="N39" s="2">
        <f t="shared" si="2"/>
        <v>-0.26320752856953378</v>
      </c>
      <c r="O39" s="2">
        <f t="shared" si="3"/>
        <v>-0.7902961179216943</v>
      </c>
      <c r="P39" s="2">
        <f t="shared" si="4"/>
        <v>1.3800196344354572</v>
      </c>
      <c r="Q39" s="2">
        <f t="shared" si="5"/>
        <v>0.39492433802352206</v>
      </c>
      <c r="R39" s="2">
        <f t="shared" si="6"/>
        <v>0.66305580132769171</v>
      </c>
    </row>
    <row r="40" spans="1:18">
      <c r="A40" t="s">
        <v>38</v>
      </c>
      <c r="B40">
        <v>823290</v>
      </c>
      <c r="C40">
        <v>2324004</v>
      </c>
      <c r="D40">
        <v>29</v>
      </c>
      <c r="E40">
        <v>7</v>
      </c>
      <c r="F40">
        <v>62</v>
      </c>
      <c r="G40">
        <v>8.83</v>
      </c>
      <c r="L40" t="s">
        <v>38</v>
      </c>
      <c r="M40" s="2">
        <f t="shared" si="1"/>
        <v>3.6070216171424696E-2</v>
      </c>
      <c r="N40" s="2">
        <f t="shared" si="2"/>
        <v>-0.26248811453328441</v>
      </c>
      <c r="O40" s="2">
        <f t="shared" si="3"/>
        <v>-7.241515490554562E-2</v>
      </c>
      <c r="P40" s="2">
        <f t="shared" si="4"/>
        <v>-0.96556533914855891</v>
      </c>
      <c r="Q40" s="2">
        <f t="shared" si="5"/>
        <v>-0.70908219488734714</v>
      </c>
      <c r="R40" s="2">
        <f t="shared" si="6"/>
        <v>-7.6000078311029035E-2</v>
      </c>
    </row>
    <row r="41" spans="1:18">
      <c r="A41" t="s">
        <v>39</v>
      </c>
      <c r="B41">
        <v>10830</v>
      </c>
      <c r="C41">
        <v>2709300</v>
      </c>
      <c r="D41">
        <v>20</v>
      </c>
      <c r="E41">
        <v>26</v>
      </c>
      <c r="F41">
        <v>73</v>
      </c>
      <c r="G41">
        <v>9</v>
      </c>
      <c r="L41" t="s">
        <v>39</v>
      </c>
      <c r="M41" s="2">
        <f t="shared" si="1"/>
        <v>-0.37880014737714923</v>
      </c>
      <c r="N41" s="2">
        <f t="shared" si="2"/>
        <v>-0.25982295405377659</v>
      </c>
      <c r="O41" s="2">
        <f t="shared" si="3"/>
        <v>-0.38007842476960935</v>
      </c>
      <c r="P41" s="2">
        <f t="shared" si="4"/>
        <v>-0.27993280840861573</v>
      </c>
      <c r="Q41" s="2">
        <f t="shared" si="5"/>
        <v>0.39492433802352206</v>
      </c>
      <c r="R41" s="2">
        <f t="shared" si="6"/>
        <v>5.6252026466426304E-2</v>
      </c>
    </row>
    <row r="42" spans="1:18">
      <c r="A42" t="s">
        <v>40</v>
      </c>
      <c r="B42">
        <v>1553560</v>
      </c>
      <c r="C42">
        <v>2800114</v>
      </c>
      <c r="D42">
        <v>26</v>
      </c>
      <c r="E42">
        <v>13</v>
      </c>
      <c r="F42">
        <v>68</v>
      </c>
      <c r="G42">
        <v>8.4700000000000006</v>
      </c>
      <c r="L42" t="s">
        <v>40</v>
      </c>
      <c r="M42" s="2">
        <f t="shared" si="1"/>
        <v>0.40897150409774363</v>
      </c>
      <c r="N42" s="2">
        <f t="shared" si="2"/>
        <v>-0.25919477757702619</v>
      </c>
      <c r="O42" s="2">
        <f t="shared" si="3"/>
        <v>-0.17496957819356687</v>
      </c>
      <c r="P42" s="2">
        <f t="shared" si="4"/>
        <v>-0.74904980312541891</v>
      </c>
      <c r="Q42" s="2">
        <f t="shared" si="5"/>
        <v>-0.10689681329960031</v>
      </c>
      <c r="R42" s="2">
        <f t="shared" si="6"/>
        <v>-0.35606335901622826</v>
      </c>
    </row>
    <row r="43" spans="1:18">
      <c r="A43" t="s">
        <v>41</v>
      </c>
      <c r="B43">
        <v>17820</v>
      </c>
      <c r="C43">
        <v>2818042</v>
      </c>
      <c r="D43">
        <v>10</v>
      </c>
      <c r="E43">
        <v>38</v>
      </c>
      <c r="F43">
        <v>75</v>
      </c>
      <c r="G43">
        <v>10.91</v>
      </c>
      <c r="L43" t="s">
        <v>41</v>
      </c>
      <c r="M43" s="2">
        <f t="shared" si="1"/>
        <v>-0.37523081000521152</v>
      </c>
      <c r="N43" s="2">
        <f t="shared" si="2"/>
        <v>-0.25907076643474436</v>
      </c>
      <c r="O43" s="2">
        <f t="shared" si="3"/>
        <v>-0.72192650239634681</v>
      </c>
      <c r="P43" s="2">
        <f t="shared" si="4"/>
        <v>0.15309826363766416</v>
      </c>
      <c r="Q43" s="2">
        <f t="shared" si="5"/>
        <v>0.59565279855277098</v>
      </c>
      <c r="R43" s="2">
        <f t="shared" si="6"/>
        <v>1.5421433213190134</v>
      </c>
    </row>
    <row r="44" spans="1:18">
      <c r="A44" t="s">
        <v>42</v>
      </c>
      <c r="B44">
        <v>309500</v>
      </c>
      <c r="C44">
        <v>2846145</v>
      </c>
      <c r="D44">
        <v>8</v>
      </c>
      <c r="E44">
        <v>62</v>
      </c>
      <c r="F44">
        <v>73</v>
      </c>
      <c r="G44">
        <v>10.27</v>
      </c>
      <c r="L44" t="s">
        <v>42</v>
      </c>
      <c r="M44" s="2">
        <f t="shared" si="1"/>
        <v>-0.22628884653642778</v>
      </c>
      <c r="N44" s="2">
        <f t="shared" si="2"/>
        <v>-0.25887637302044575</v>
      </c>
      <c r="O44" s="2">
        <f t="shared" si="3"/>
        <v>-0.7902961179216943</v>
      </c>
      <c r="P44" s="2">
        <f t="shared" si="4"/>
        <v>1.0191604077302239</v>
      </c>
      <c r="Q44" s="2">
        <f t="shared" si="5"/>
        <v>0.39492433802352206</v>
      </c>
      <c r="R44" s="2">
        <f t="shared" si="6"/>
        <v>1.0442530445097693</v>
      </c>
    </row>
    <row r="45" spans="1:18">
      <c r="A45" t="s">
        <v>43</v>
      </c>
      <c r="B45">
        <v>28480</v>
      </c>
      <c r="C45">
        <v>3100236</v>
      </c>
      <c r="D45">
        <v>18</v>
      </c>
      <c r="E45">
        <v>44</v>
      </c>
      <c r="F45">
        <v>74</v>
      </c>
      <c r="G45">
        <v>8.67</v>
      </c>
      <c r="L45" t="s">
        <v>43</v>
      </c>
      <c r="M45" s="2">
        <f t="shared" si="1"/>
        <v>-0.36978744285430221</v>
      </c>
      <c r="N45" s="2">
        <f t="shared" si="2"/>
        <v>-0.25711878069818278</v>
      </c>
      <c r="O45" s="2">
        <f t="shared" si="3"/>
        <v>-0.44844804029495683</v>
      </c>
      <c r="P45" s="2">
        <f t="shared" si="4"/>
        <v>0.3696137996608041</v>
      </c>
      <c r="Q45" s="2">
        <f t="shared" si="5"/>
        <v>0.49528856828814655</v>
      </c>
      <c r="R45" s="2">
        <f t="shared" si="6"/>
        <v>-0.2004726475133401</v>
      </c>
    </row>
    <row r="46" spans="1:18">
      <c r="A46" t="s">
        <v>44</v>
      </c>
      <c r="B46">
        <v>62670</v>
      </c>
      <c r="C46">
        <v>3203000</v>
      </c>
      <c r="D46">
        <v>5</v>
      </c>
      <c r="E46">
        <v>63</v>
      </c>
      <c r="F46">
        <v>73</v>
      </c>
      <c r="G46">
        <v>9.92</v>
      </c>
      <c r="L46" t="s">
        <v>44</v>
      </c>
      <c r="M46" s="2">
        <f t="shared" si="1"/>
        <v>-0.35232883845565394</v>
      </c>
      <c r="N46" s="2">
        <f t="shared" si="2"/>
        <v>-0.25640794396093103</v>
      </c>
      <c r="O46" s="2">
        <f t="shared" si="3"/>
        <v>-0.89285054120971552</v>
      </c>
      <c r="P46" s="2">
        <f t="shared" si="4"/>
        <v>1.0552463304007473</v>
      </c>
      <c r="Q46" s="2">
        <f t="shared" si="5"/>
        <v>0.39492433802352206</v>
      </c>
      <c r="R46" s="2">
        <f t="shared" si="6"/>
        <v>0.77196929937971426</v>
      </c>
    </row>
    <row r="47" spans="1:18">
      <c r="A47" t="s">
        <v>45</v>
      </c>
      <c r="B47">
        <v>27400</v>
      </c>
      <c r="C47">
        <v>3215988</v>
      </c>
      <c r="D47">
        <v>16</v>
      </c>
      <c r="E47">
        <v>45</v>
      </c>
      <c r="F47">
        <v>77</v>
      </c>
      <c r="G47">
        <v>9.1</v>
      </c>
      <c r="L47" t="s">
        <v>45</v>
      </c>
      <c r="M47" s="2">
        <f t="shared" si="1"/>
        <v>-0.37033892845683336</v>
      </c>
      <c r="N47" s="2">
        <f t="shared" si="2"/>
        <v>-0.25631810367110752</v>
      </c>
      <c r="O47" s="2">
        <f t="shared" si="3"/>
        <v>-0.51681765582030437</v>
      </c>
      <c r="P47" s="2">
        <f t="shared" si="4"/>
        <v>0.40569972233132739</v>
      </c>
      <c r="Q47" s="2">
        <f t="shared" si="5"/>
        <v>0.79638125908201995</v>
      </c>
      <c r="R47" s="2">
        <f t="shared" si="6"/>
        <v>0.13404738221787038</v>
      </c>
    </row>
    <row r="48" spans="1:18">
      <c r="A48" t="s">
        <v>46</v>
      </c>
      <c r="B48">
        <v>175020</v>
      </c>
      <c r="C48">
        <v>3368595</v>
      </c>
      <c r="D48">
        <v>9</v>
      </c>
      <c r="E48">
        <v>48</v>
      </c>
      <c r="F48">
        <v>76</v>
      </c>
      <c r="G48">
        <v>9.6300000000000008</v>
      </c>
      <c r="L48" t="s">
        <v>46</v>
      </c>
      <c r="M48" s="2">
        <f t="shared" si="1"/>
        <v>-0.29495901674789937</v>
      </c>
      <c r="N48" s="2">
        <f t="shared" si="2"/>
        <v>-0.25526249410003427</v>
      </c>
      <c r="O48" s="2">
        <f t="shared" si="3"/>
        <v>-0.75611131015902056</v>
      </c>
      <c r="P48" s="2">
        <f t="shared" si="4"/>
        <v>0.51395749034289739</v>
      </c>
      <c r="Q48" s="2">
        <f t="shared" si="5"/>
        <v>0.69601702881739547</v>
      </c>
      <c r="R48" s="2">
        <f t="shared" si="6"/>
        <v>0.54636276770052628</v>
      </c>
    </row>
    <row r="49" spans="1:18">
      <c r="A49" t="s">
        <v>47</v>
      </c>
      <c r="B49">
        <v>1030700</v>
      </c>
      <c r="C49">
        <v>3541540</v>
      </c>
      <c r="D49">
        <v>75</v>
      </c>
      <c r="E49">
        <v>3</v>
      </c>
      <c r="F49">
        <v>58</v>
      </c>
      <c r="G49">
        <v>7.85</v>
      </c>
      <c r="L49" t="s">
        <v>47</v>
      </c>
      <c r="M49" s="2">
        <f t="shared" si="1"/>
        <v>0.14198098359826383</v>
      </c>
      <c r="N49" s="2">
        <f t="shared" si="2"/>
        <v>-0.25406620299104665</v>
      </c>
      <c r="O49" s="2">
        <f t="shared" si="3"/>
        <v>1.5000860021774467</v>
      </c>
      <c r="P49" s="2">
        <f t="shared" si="4"/>
        <v>-1.1099090298306522</v>
      </c>
      <c r="Q49" s="2">
        <f t="shared" si="5"/>
        <v>-1.1105391159458451</v>
      </c>
      <c r="R49" s="2">
        <f t="shared" si="6"/>
        <v>-0.83839456467518403</v>
      </c>
    </row>
    <row r="50" spans="1:18">
      <c r="A50" t="s">
        <v>48</v>
      </c>
      <c r="B50">
        <v>32890</v>
      </c>
      <c r="C50">
        <v>3559000</v>
      </c>
      <c r="D50">
        <v>16</v>
      </c>
      <c r="E50">
        <v>40</v>
      </c>
      <c r="F50">
        <v>69</v>
      </c>
      <c r="G50">
        <v>8.1300000000000008</v>
      </c>
      <c r="L50" t="s">
        <v>48</v>
      </c>
      <c r="M50" s="2">
        <f t="shared" si="1"/>
        <v>-0.36753554331063332</v>
      </c>
      <c r="N50" s="2">
        <f t="shared" si="2"/>
        <v>-0.25394542908741879</v>
      </c>
      <c r="O50" s="2">
        <f t="shared" si="3"/>
        <v>-0.51681765582030437</v>
      </c>
      <c r="P50" s="2">
        <f t="shared" si="4"/>
        <v>0.2252701089787108</v>
      </c>
      <c r="Q50" s="2">
        <f t="shared" si="5"/>
        <v>-6.5325830349758363E-3</v>
      </c>
      <c r="R50" s="2">
        <f t="shared" si="6"/>
        <v>-0.62056756857113893</v>
      </c>
    </row>
    <row r="51" spans="1:18">
      <c r="A51" t="s">
        <v>49</v>
      </c>
      <c r="B51">
        <v>74340</v>
      </c>
      <c r="C51">
        <v>3571185</v>
      </c>
      <c r="D51">
        <v>17</v>
      </c>
      <c r="E51">
        <v>43</v>
      </c>
      <c r="F51">
        <v>76</v>
      </c>
      <c r="G51">
        <v>9.66</v>
      </c>
      <c r="L51" t="s">
        <v>49</v>
      </c>
      <c r="M51" s="2">
        <f t="shared" si="1"/>
        <v>-0.34636973013941458</v>
      </c>
      <c r="N51" s="2">
        <f t="shared" si="2"/>
        <v>-0.25386114329041387</v>
      </c>
      <c r="O51" s="2">
        <f t="shared" si="3"/>
        <v>-0.48263284805763057</v>
      </c>
      <c r="P51" s="2">
        <f t="shared" si="4"/>
        <v>0.33352787699028075</v>
      </c>
      <c r="Q51" s="2">
        <f t="shared" si="5"/>
        <v>0.69601702881739547</v>
      </c>
      <c r="R51" s="2">
        <f t="shared" si="6"/>
        <v>0.56970137442595914</v>
      </c>
    </row>
    <row r="52" spans="1:18">
      <c r="A52" t="s">
        <v>50</v>
      </c>
      <c r="B52">
        <v>51000</v>
      </c>
      <c r="C52">
        <v>3752228</v>
      </c>
      <c r="D52">
        <v>8</v>
      </c>
      <c r="E52">
        <v>52</v>
      </c>
      <c r="F52">
        <v>75</v>
      </c>
      <c r="G52">
        <v>9.11</v>
      </c>
      <c r="L52" t="s">
        <v>50</v>
      </c>
      <c r="M52" s="2">
        <f t="shared" si="1"/>
        <v>-0.35828794677189335</v>
      </c>
      <c r="N52" s="2">
        <f t="shared" si="2"/>
        <v>-0.2526088368852305</v>
      </c>
      <c r="O52" s="2">
        <f t="shared" si="3"/>
        <v>-0.7902961179216943</v>
      </c>
      <c r="P52" s="2">
        <f t="shared" si="4"/>
        <v>0.65830118102499069</v>
      </c>
      <c r="Q52" s="2">
        <f t="shared" si="5"/>
        <v>0.59565279855277098</v>
      </c>
      <c r="R52" s="2">
        <f t="shared" si="6"/>
        <v>0.14182691779301465</v>
      </c>
    </row>
    <row r="53" spans="1:18">
      <c r="A53" t="s">
        <v>51</v>
      </c>
      <c r="B53">
        <v>96320</v>
      </c>
      <c r="C53">
        <v>4128572</v>
      </c>
      <c r="D53">
        <v>74</v>
      </c>
      <c r="E53">
        <v>7</v>
      </c>
      <c r="F53">
        <v>56</v>
      </c>
      <c r="G53">
        <v>6.36</v>
      </c>
      <c r="L53" t="s">
        <v>51</v>
      </c>
      <c r="M53" s="2">
        <f t="shared" si="1"/>
        <v>-0.3351459768582713</v>
      </c>
      <c r="N53" s="2">
        <f t="shared" si="2"/>
        <v>-0.25000559897074426</v>
      </c>
      <c r="O53" s="2">
        <f t="shared" si="3"/>
        <v>1.4659011944147728</v>
      </c>
      <c r="P53" s="2">
        <f t="shared" si="4"/>
        <v>-0.96556533914855891</v>
      </c>
      <c r="Q53" s="2">
        <f t="shared" si="5"/>
        <v>-1.3112675764750941</v>
      </c>
      <c r="R53" s="2">
        <f t="shared" si="6"/>
        <v>-1.9975453653717044</v>
      </c>
    </row>
    <row r="54" spans="1:18">
      <c r="A54" t="s">
        <v>52</v>
      </c>
      <c r="B54">
        <v>341500</v>
      </c>
      <c r="C54">
        <v>4139748</v>
      </c>
      <c r="D54">
        <v>61</v>
      </c>
      <c r="E54">
        <v>5</v>
      </c>
      <c r="F54">
        <v>57</v>
      </c>
      <c r="G54">
        <v>8.4</v>
      </c>
      <c r="L54" t="s">
        <v>52</v>
      </c>
      <c r="M54" s="2">
        <f t="shared" si="1"/>
        <v>-0.20994853238735658</v>
      </c>
      <c r="N54" s="2">
        <f t="shared" si="2"/>
        <v>-0.24992829260493982</v>
      </c>
      <c r="O54" s="2">
        <f t="shared" si="3"/>
        <v>1.0214986935000143</v>
      </c>
      <c r="P54" s="2">
        <f t="shared" si="4"/>
        <v>-1.0377371844896055</v>
      </c>
      <c r="Q54" s="2">
        <f t="shared" si="5"/>
        <v>-1.2109033462104695</v>
      </c>
      <c r="R54" s="2">
        <f t="shared" si="6"/>
        <v>-0.41052010804223948</v>
      </c>
    </row>
    <row r="55" spans="1:18">
      <c r="A55" t="s">
        <v>53</v>
      </c>
      <c r="B55">
        <v>10230</v>
      </c>
      <c r="C55">
        <v>4259405</v>
      </c>
      <c r="D55">
        <v>19</v>
      </c>
      <c r="E55">
        <v>31</v>
      </c>
      <c r="F55">
        <v>72</v>
      </c>
      <c r="G55">
        <v>9.6</v>
      </c>
      <c r="L55" t="s">
        <v>53</v>
      </c>
      <c r="M55" s="2">
        <f t="shared" si="1"/>
        <v>-0.37910652826744434</v>
      </c>
      <c r="N55" s="2">
        <f t="shared" si="2"/>
        <v>-0.24910060400319864</v>
      </c>
      <c r="O55" s="2">
        <f t="shared" si="3"/>
        <v>-0.41426323253228309</v>
      </c>
      <c r="P55" s="2">
        <f t="shared" si="4"/>
        <v>-9.9503195055999111E-2</v>
      </c>
      <c r="Q55" s="2">
        <f t="shared" si="5"/>
        <v>0.29456010775889757</v>
      </c>
      <c r="R55" s="2">
        <f t="shared" si="6"/>
        <v>0.52302416097509208</v>
      </c>
    </row>
    <row r="56" spans="1:18">
      <c r="A56" t="s">
        <v>54</v>
      </c>
      <c r="B56">
        <v>263310</v>
      </c>
      <c r="C56">
        <v>4405200</v>
      </c>
      <c r="D56">
        <v>5</v>
      </c>
      <c r="E56">
        <v>83</v>
      </c>
      <c r="F56">
        <v>81</v>
      </c>
      <c r="G56">
        <v>10.31</v>
      </c>
      <c r="L56" t="s">
        <v>54</v>
      </c>
      <c r="M56" s="2">
        <f t="shared" si="1"/>
        <v>-0.2498750687409777</v>
      </c>
      <c r="N56" s="2">
        <f t="shared" si="2"/>
        <v>-0.24809211423919944</v>
      </c>
      <c r="O56" s="2">
        <f t="shared" si="3"/>
        <v>-0.89285054120971552</v>
      </c>
      <c r="P56" s="2">
        <f t="shared" si="4"/>
        <v>1.7769647838112137</v>
      </c>
      <c r="Q56" s="2">
        <f t="shared" si="5"/>
        <v>1.1978381801405178</v>
      </c>
      <c r="R56" s="2">
        <f t="shared" si="6"/>
        <v>1.0753711868103477</v>
      </c>
    </row>
    <row r="57" spans="1:18">
      <c r="A57" t="s">
        <v>55</v>
      </c>
      <c r="B57">
        <v>55960</v>
      </c>
      <c r="C57">
        <v>4407000</v>
      </c>
      <c r="D57">
        <v>5</v>
      </c>
      <c r="E57">
        <v>60</v>
      </c>
      <c r="F57">
        <v>76</v>
      </c>
      <c r="G57">
        <v>9.91</v>
      </c>
      <c r="L57" t="s">
        <v>55</v>
      </c>
      <c r="M57" s="2">
        <f t="shared" si="1"/>
        <v>-0.3557551980787873</v>
      </c>
      <c r="N57" s="2">
        <f t="shared" si="2"/>
        <v>-0.24807966332129966</v>
      </c>
      <c r="O57" s="2">
        <f t="shared" si="3"/>
        <v>-0.89285054120971552</v>
      </c>
      <c r="P57" s="2">
        <f t="shared" si="4"/>
        <v>0.94698856238917728</v>
      </c>
      <c r="Q57" s="2">
        <f t="shared" si="5"/>
        <v>0.69601702881739547</v>
      </c>
      <c r="R57" s="2">
        <f t="shared" si="6"/>
        <v>0.76418976380456993</v>
      </c>
    </row>
    <row r="58" spans="1:18">
      <c r="A58" t="s">
        <v>56</v>
      </c>
      <c r="B58">
        <v>69490</v>
      </c>
      <c r="C58">
        <v>4486000</v>
      </c>
      <c r="D58">
        <v>20</v>
      </c>
      <c r="E58">
        <v>26</v>
      </c>
      <c r="F58">
        <v>73</v>
      </c>
      <c r="G58">
        <v>8.61</v>
      </c>
      <c r="L58" t="s">
        <v>56</v>
      </c>
      <c r="M58" s="2">
        <f t="shared" si="1"/>
        <v>-0.34884630900263314</v>
      </c>
      <c r="N58" s="2">
        <f t="shared" si="2"/>
        <v>-0.24753320636903148</v>
      </c>
      <c r="O58" s="2">
        <f t="shared" si="3"/>
        <v>-0.38007842476960935</v>
      </c>
      <c r="P58" s="2">
        <f t="shared" si="4"/>
        <v>-0.27993280840861573</v>
      </c>
      <c r="Q58" s="2">
        <f t="shared" si="5"/>
        <v>0.39492433802352206</v>
      </c>
      <c r="R58" s="2">
        <f t="shared" si="6"/>
        <v>-0.2471498609642071</v>
      </c>
    </row>
    <row r="59" spans="1:18">
      <c r="A59" t="s">
        <v>57</v>
      </c>
      <c r="B59">
        <v>622980</v>
      </c>
      <c r="C59">
        <v>4486837</v>
      </c>
      <c r="D59">
        <v>106</v>
      </c>
      <c r="E59">
        <v>2</v>
      </c>
      <c r="F59">
        <v>48</v>
      </c>
      <c r="G59">
        <v>6.7</v>
      </c>
      <c r="L59" t="s">
        <v>57</v>
      </c>
      <c r="M59" s="2">
        <f t="shared" si="1"/>
        <v>-6.6215044053589273E-2</v>
      </c>
      <c r="N59" s="2">
        <f t="shared" si="2"/>
        <v>-0.24752741669220807</v>
      </c>
      <c r="O59" s="2">
        <f t="shared" si="3"/>
        <v>2.5598150428203326</v>
      </c>
      <c r="P59" s="2">
        <f t="shared" si="4"/>
        <v>-1.1459949525011754</v>
      </c>
      <c r="Q59" s="2">
        <f t="shared" si="5"/>
        <v>-2.1141814185920897</v>
      </c>
      <c r="R59" s="2">
        <f t="shared" si="6"/>
        <v>-1.7330411558167935</v>
      </c>
    </row>
    <row r="60" spans="1:18">
      <c r="A60" t="s">
        <v>58</v>
      </c>
      <c r="B60">
        <v>68890</v>
      </c>
      <c r="C60">
        <v>4487000</v>
      </c>
      <c r="D60">
        <v>3</v>
      </c>
      <c r="E60">
        <v>70</v>
      </c>
      <c r="F60">
        <v>80</v>
      </c>
      <c r="G60">
        <v>10.64</v>
      </c>
      <c r="L60" t="s">
        <v>58</v>
      </c>
      <c r="M60" s="2">
        <f t="shared" si="1"/>
        <v>-0.34915268989292825</v>
      </c>
      <c r="N60" s="2">
        <f t="shared" si="2"/>
        <v>-0.24752628919242048</v>
      </c>
      <c r="O60" s="2">
        <f t="shared" si="3"/>
        <v>-0.961220156735063</v>
      </c>
      <c r="P60" s="2">
        <f t="shared" si="4"/>
        <v>1.3078477890944105</v>
      </c>
      <c r="Q60" s="2">
        <f t="shared" si="5"/>
        <v>1.0974739498758934</v>
      </c>
      <c r="R60" s="2">
        <f t="shared" si="6"/>
        <v>1.3320958607901141</v>
      </c>
    </row>
    <row r="61" spans="1:18">
      <c r="A61" t="s">
        <v>59</v>
      </c>
      <c r="B61">
        <v>51060</v>
      </c>
      <c r="C61">
        <v>4726575</v>
      </c>
      <c r="D61">
        <v>9</v>
      </c>
      <c r="E61">
        <v>37</v>
      </c>
      <c r="F61">
        <v>79</v>
      </c>
      <c r="G61">
        <v>9.41</v>
      </c>
      <c r="L61" t="s">
        <v>59</v>
      </c>
      <c r="M61" s="2">
        <f t="shared" si="1"/>
        <v>-0.35825730868286382</v>
      </c>
      <c r="N61" s="2">
        <f t="shared" si="2"/>
        <v>-0.24586910660584269</v>
      </c>
      <c r="O61" s="2">
        <f t="shared" si="3"/>
        <v>-0.75611131015902056</v>
      </c>
      <c r="P61" s="2">
        <f t="shared" si="4"/>
        <v>0.11701234096714083</v>
      </c>
      <c r="Q61" s="2">
        <f t="shared" si="5"/>
        <v>0.99710971961126893</v>
      </c>
      <c r="R61" s="2">
        <f t="shared" si="6"/>
        <v>0.37521298504734824</v>
      </c>
    </row>
    <row r="62" spans="1:18">
      <c r="A62" t="s">
        <v>60</v>
      </c>
      <c r="B62">
        <v>305470</v>
      </c>
      <c r="C62">
        <v>4952000</v>
      </c>
      <c r="D62">
        <v>3</v>
      </c>
      <c r="E62">
        <v>93</v>
      </c>
      <c r="F62">
        <v>81</v>
      </c>
      <c r="G62">
        <v>10.95</v>
      </c>
      <c r="L62" t="s">
        <v>60</v>
      </c>
      <c r="M62" s="2">
        <f t="shared" si="1"/>
        <v>-0.22834670484957642</v>
      </c>
      <c r="N62" s="2">
        <f t="shared" si="2"/>
        <v>-0.24430980206831035</v>
      </c>
      <c r="O62" s="2">
        <f t="shared" si="3"/>
        <v>-0.961220156735063</v>
      </c>
      <c r="P62" s="2">
        <f t="shared" si="4"/>
        <v>2.137824010516447</v>
      </c>
      <c r="Q62" s="2">
        <f t="shared" si="5"/>
        <v>1.1978381801405178</v>
      </c>
      <c r="R62" s="2">
        <f t="shared" si="6"/>
        <v>1.5732614636195905</v>
      </c>
    </row>
    <row r="63" spans="1:18">
      <c r="A63" t="s">
        <v>61</v>
      </c>
      <c r="B63">
        <v>469930</v>
      </c>
      <c r="C63">
        <v>5105301</v>
      </c>
      <c r="D63">
        <v>47</v>
      </c>
      <c r="E63">
        <v>2</v>
      </c>
      <c r="F63">
        <v>65</v>
      </c>
      <c r="G63">
        <v>9.1300000000000008</v>
      </c>
      <c r="L63" t="s">
        <v>61</v>
      </c>
      <c r="M63" s="2">
        <f t="shared" si="1"/>
        <v>-0.14436770281969374</v>
      </c>
      <c r="N63" s="2">
        <f t="shared" si="2"/>
        <v>-0.24324939197666906</v>
      </c>
      <c r="O63" s="2">
        <f t="shared" si="3"/>
        <v>0.54291138482258183</v>
      </c>
      <c r="P63" s="2">
        <f t="shared" si="4"/>
        <v>-1.1459949525011754</v>
      </c>
      <c r="Q63" s="2">
        <f t="shared" si="5"/>
        <v>-0.40798950409347373</v>
      </c>
      <c r="R63" s="2">
        <f t="shared" si="6"/>
        <v>0.15738598894330458</v>
      </c>
    </row>
    <row r="64" spans="1:18">
      <c r="A64" t="s">
        <v>62</v>
      </c>
      <c r="B64">
        <v>700</v>
      </c>
      <c r="C64">
        <v>5183700</v>
      </c>
      <c r="D64">
        <v>2</v>
      </c>
      <c r="E64">
        <v>71</v>
      </c>
      <c r="F64">
        <v>82</v>
      </c>
      <c r="G64">
        <v>11.02</v>
      </c>
      <c r="L64" t="s">
        <v>62</v>
      </c>
      <c r="M64" s="2">
        <f t="shared" si="1"/>
        <v>-0.38397287807496461</v>
      </c>
      <c r="N64" s="2">
        <f t="shared" si="2"/>
        <v>-0.24270709224754408</v>
      </c>
      <c r="O64" s="2">
        <f t="shared" si="3"/>
        <v>-0.99540496449773674</v>
      </c>
      <c r="P64" s="2">
        <f t="shared" si="4"/>
        <v>1.3439337117649337</v>
      </c>
      <c r="Q64" s="2">
        <f t="shared" si="5"/>
        <v>1.2982024104051424</v>
      </c>
      <c r="R64" s="2">
        <f t="shared" si="6"/>
        <v>1.6277182126456018</v>
      </c>
    </row>
    <row r="65" spans="1:18">
      <c r="A65" t="s">
        <v>63</v>
      </c>
      <c r="B65">
        <v>303900</v>
      </c>
      <c r="C65">
        <v>5387000</v>
      </c>
      <c r="D65">
        <v>2</v>
      </c>
      <c r="E65">
        <v>87</v>
      </c>
      <c r="F65">
        <v>80</v>
      </c>
      <c r="G65">
        <v>10.53</v>
      </c>
      <c r="L65" t="s">
        <v>63</v>
      </c>
      <c r="M65" s="2">
        <f t="shared" si="1"/>
        <v>-0.22914840151251523</v>
      </c>
      <c r="N65" s="2">
        <f t="shared" si="2"/>
        <v>-0.24130083024252991</v>
      </c>
      <c r="O65" s="2">
        <f t="shared" si="3"/>
        <v>-0.99540496449773674</v>
      </c>
      <c r="P65" s="2">
        <f t="shared" si="4"/>
        <v>1.9213084744933069</v>
      </c>
      <c r="Q65" s="2">
        <f t="shared" si="5"/>
        <v>1.0974739498758934</v>
      </c>
      <c r="R65" s="2">
        <f t="shared" si="6"/>
        <v>1.2465209694635244</v>
      </c>
    </row>
    <row r="66" spans="1:18">
      <c r="A66" t="s">
        <v>64</v>
      </c>
      <c r="B66">
        <v>101000</v>
      </c>
      <c r="C66">
        <v>5415280</v>
      </c>
      <c r="D66">
        <v>42</v>
      </c>
      <c r="E66">
        <v>5</v>
      </c>
      <c r="F66">
        <v>61</v>
      </c>
      <c r="G66">
        <v>6.38</v>
      </c>
      <c r="L66" t="s">
        <v>64</v>
      </c>
      <c r="M66" s="2">
        <f t="shared" si="1"/>
        <v>-0.33275620591396965</v>
      </c>
      <c r="N66" s="2">
        <f t="shared" si="2"/>
        <v>-0.24110521248797112</v>
      </c>
      <c r="O66" s="2">
        <f t="shared" si="3"/>
        <v>0.37198734600921307</v>
      </c>
      <c r="P66" s="2">
        <f t="shared" si="4"/>
        <v>-1.0377371844896055</v>
      </c>
      <c r="Q66" s="2">
        <f t="shared" si="5"/>
        <v>-0.80944642515197163</v>
      </c>
      <c r="R66" s="2">
        <f t="shared" si="6"/>
        <v>-1.9819862942214157</v>
      </c>
    </row>
    <row r="67" spans="1:18">
      <c r="A67" t="s">
        <v>65</v>
      </c>
      <c r="B67">
        <v>48090</v>
      </c>
      <c r="C67">
        <v>5440000</v>
      </c>
      <c r="D67">
        <v>7</v>
      </c>
      <c r="E67">
        <v>80</v>
      </c>
      <c r="F67">
        <v>75</v>
      </c>
      <c r="G67">
        <v>10.1</v>
      </c>
      <c r="L67" t="s">
        <v>65</v>
      </c>
      <c r="M67" s="2">
        <f t="shared" ref="M67:M130" si="7">STANDARDIZE(B67,AVERAGE(B$2:B$170),_xlfn.STDEV.S(B$2:B$170))</f>
        <v>-0.35977389408982452</v>
      </c>
      <c r="N67" s="2">
        <f t="shared" ref="N67:N130" si="8">STANDARDIZE(C67,AVERAGE(C$2:C$170),_xlfn.STDEV.S(C$2:C$170))</f>
        <v>-0.24093421988214747</v>
      </c>
      <c r="O67" s="2">
        <f t="shared" ref="O67:O130" si="9">STANDARDIZE(D67,AVERAGE(D$2:D$170),_xlfn.STDEV.S(D$2:D$170))</f>
        <v>-0.82448092568436804</v>
      </c>
      <c r="P67" s="2">
        <f t="shared" ref="P67:P130" si="10">STANDARDIZE(E67,AVERAGE(E$2:E$170),_xlfn.STDEV.S(E$2:E$170))</f>
        <v>1.6687070157996438</v>
      </c>
      <c r="Q67" s="2">
        <f t="shared" ref="Q67:Q130" si="11">STANDARDIZE(F67,AVERAGE(F$2:F$170),_xlfn.STDEV.S(F$2:F$170))</f>
        <v>0.59565279855277098</v>
      </c>
      <c r="R67" s="2">
        <f t="shared" ref="R67:R130" si="12">STANDARDIZE(G67,AVERAGE(G$2:G$170),_xlfn.STDEV.S(G$2:G$170))</f>
        <v>0.91200093973231389</v>
      </c>
    </row>
    <row r="68" spans="1:18">
      <c r="A68" t="s">
        <v>66</v>
      </c>
      <c r="B68">
        <v>191800</v>
      </c>
      <c r="C68">
        <v>5507000</v>
      </c>
      <c r="D68">
        <v>33</v>
      </c>
      <c r="E68">
        <v>20</v>
      </c>
      <c r="F68">
        <v>69</v>
      </c>
      <c r="G68">
        <v>7.79</v>
      </c>
      <c r="L68" t="s">
        <v>66</v>
      </c>
      <c r="M68" s="2">
        <f t="shared" si="7"/>
        <v>-0.28639056451598016</v>
      </c>
      <c r="N68" s="2">
        <f t="shared" si="8"/>
        <v>-0.24047076904921116</v>
      </c>
      <c r="O68" s="2">
        <f t="shared" si="9"/>
        <v>6.4324076145149373E-2</v>
      </c>
      <c r="P68" s="2">
        <f t="shared" si="10"/>
        <v>-0.49644834443175567</v>
      </c>
      <c r="Q68" s="2">
        <f t="shared" si="11"/>
        <v>-6.5325830349758363E-3</v>
      </c>
      <c r="R68" s="2">
        <f t="shared" si="12"/>
        <v>-0.88507177812605031</v>
      </c>
    </row>
    <row r="69" spans="1:18">
      <c r="A69" t="s">
        <v>67</v>
      </c>
      <c r="B69">
        <v>42430</v>
      </c>
      <c r="C69">
        <v>5574000</v>
      </c>
      <c r="D69">
        <v>3</v>
      </c>
      <c r="E69">
        <v>89</v>
      </c>
      <c r="F69">
        <v>79</v>
      </c>
      <c r="G69">
        <v>10.62</v>
      </c>
      <c r="L69" t="s">
        <v>67</v>
      </c>
      <c r="M69" s="2">
        <f t="shared" si="7"/>
        <v>-0.36266408715494147</v>
      </c>
      <c r="N69" s="2">
        <f t="shared" si="8"/>
        <v>-0.24000731821627486</v>
      </c>
      <c r="O69" s="2">
        <f t="shared" si="9"/>
        <v>-0.961220156735063</v>
      </c>
      <c r="P69" s="2">
        <f t="shared" si="10"/>
        <v>1.9934803198343536</v>
      </c>
      <c r="Q69" s="2">
        <f t="shared" si="11"/>
        <v>0.99710971961126893</v>
      </c>
      <c r="R69" s="2">
        <f t="shared" si="12"/>
        <v>1.3165367896398241</v>
      </c>
    </row>
    <row r="70" spans="1:18">
      <c r="A70" t="s">
        <v>68</v>
      </c>
      <c r="B70">
        <v>120340</v>
      </c>
      <c r="C70">
        <v>5869859</v>
      </c>
      <c r="D70">
        <v>23</v>
      </c>
      <c r="E70">
        <v>10</v>
      </c>
      <c r="F70">
        <v>74</v>
      </c>
      <c r="G70">
        <v>7.99</v>
      </c>
      <c r="L70" t="s">
        <v>68</v>
      </c>
      <c r="M70" s="2">
        <f t="shared" si="7"/>
        <v>-0.32288052855012472</v>
      </c>
      <c r="N70" s="2">
        <f t="shared" si="8"/>
        <v>-0.23796080926132412</v>
      </c>
      <c r="O70" s="2">
        <f t="shared" si="9"/>
        <v>-0.27752400148158812</v>
      </c>
      <c r="P70" s="2">
        <f t="shared" si="10"/>
        <v>-0.85730757113698886</v>
      </c>
      <c r="Q70" s="2">
        <f t="shared" si="11"/>
        <v>0.49528856828814655</v>
      </c>
      <c r="R70" s="2">
        <f t="shared" si="12"/>
        <v>-0.72948106662316148</v>
      </c>
    </row>
    <row r="71" spans="1:18">
      <c r="A71" t="s">
        <v>69</v>
      </c>
      <c r="B71">
        <v>71620</v>
      </c>
      <c r="C71">
        <v>5997486</v>
      </c>
      <c r="D71">
        <v>114</v>
      </c>
      <c r="E71">
        <v>0</v>
      </c>
      <c r="F71">
        <v>47</v>
      </c>
      <c r="G71">
        <v>6.78</v>
      </c>
      <c r="L71" t="s">
        <v>69</v>
      </c>
      <c r="M71" s="2">
        <f t="shared" si="7"/>
        <v>-0.34775865684208562</v>
      </c>
      <c r="N71" s="2">
        <f t="shared" si="8"/>
        <v>-0.23707799076199335</v>
      </c>
      <c r="O71" s="2">
        <f t="shared" si="9"/>
        <v>2.8332935049217229</v>
      </c>
      <c r="P71" s="2">
        <f t="shared" si="10"/>
        <v>-1.2181667978422221</v>
      </c>
      <c r="Q71" s="2">
        <f t="shared" si="11"/>
        <v>-2.2145456488567143</v>
      </c>
      <c r="R71" s="2">
        <f t="shared" si="12"/>
        <v>-1.670804871215638</v>
      </c>
    </row>
    <row r="72" spans="1:18">
      <c r="A72" t="s">
        <v>70</v>
      </c>
      <c r="B72">
        <v>54390</v>
      </c>
      <c r="C72">
        <v>6154813</v>
      </c>
      <c r="D72">
        <v>66</v>
      </c>
      <c r="E72">
        <v>5</v>
      </c>
      <c r="F72">
        <v>57</v>
      </c>
      <c r="G72">
        <v>6.95</v>
      </c>
      <c r="L72" t="s">
        <v>70</v>
      </c>
      <c r="M72" s="2">
        <f t="shared" si="7"/>
        <v>-0.35655689474172614</v>
      </c>
      <c r="N72" s="2">
        <f t="shared" si="8"/>
        <v>-0.23598973211731619</v>
      </c>
      <c r="O72" s="2">
        <f t="shared" si="9"/>
        <v>1.1924227323133829</v>
      </c>
      <c r="P72" s="2">
        <f t="shared" si="10"/>
        <v>-1.0377371844896055</v>
      </c>
      <c r="Q72" s="2">
        <f t="shared" si="11"/>
        <v>-1.2109033462104695</v>
      </c>
      <c r="R72" s="2">
        <f t="shared" si="12"/>
        <v>-1.5385527664381826</v>
      </c>
    </row>
    <row r="73" spans="1:18">
      <c r="A73" t="s">
        <v>71</v>
      </c>
      <c r="B73">
        <v>88780</v>
      </c>
      <c r="C73">
        <v>6181000</v>
      </c>
      <c r="D73">
        <v>18</v>
      </c>
      <c r="E73">
        <v>39</v>
      </c>
      <c r="F73">
        <v>73</v>
      </c>
      <c r="G73">
        <v>8.6999999999999993</v>
      </c>
      <c r="L73" t="s">
        <v>71</v>
      </c>
      <c r="M73" s="2">
        <f t="shared" si="7"/>
        <v>-0.33899616337964616</v>
      </c>
      <c r="N73" s="2">
        <f t="shared" si="8"/>
        <v>-0.23580859201340421</v>
      </c>
      <c r="O73" s="2">
        <f t="shared" si="9"/>
        <v>-0.44844804029495683</v>
      </c>
      <c r="P73" s="2">
        <f t="shared" si="10"/>
        <v>0.18918418630818748</v>
      </c>
      <c r="Q73" s="2">
        <f t="shared" si="11"/>
        <v>0.39492433802352206</v>
      </c>
      <c r="R73" s="2">
        <f t="shared" si="12"/>
        <v>-0.17713404078790729</v>
      </c>
    </row>
    <row r="74" spans="1:18">
      <c r="A74" t="s">
        <v>72</v>
      </c>
      <c r="B74">
        <v>20720</v>
      </c>
      <c r="C74">
        <v>6227491</v>
      </c>
      <c r="D74">
        <v>14</v>
      </c>
      <c r="E74">
        <v>16</v>
      </c>
      <c r="F74">
        <v>72</v>
      </c>
      <c r="G74">
        <v>8.84</v>
      </c>
      <c r="L74" t="s">
        <v>72</v>
      </c>
      <c r="M74" s="2">
        <f t="shared" si="7"/>
        <v>-0.37374996903545193</v>
      </c>
      <c r="N74" s="2">
        <f t="shared" si="8"/>
        <v>-0.23548700555558269</v>
      </c>
      <c r="O74" s="2">
        <f t="shared" si="9"/>
        <v>-0.58518727134565185</v>
      </c>
      <c r="P74" s="2">
        <f t="shared" si="10"/>
        <v>-0.64079203511384897</v>
      </c>
      <c r="Q74" s="2">
        <f t="shared" si="11"/>
        <v>0.29456010775889757</v>
      </c>
      <c r="R74" s="2">
        <f t="shared" si="12"/>
        <v>-6.8220542735884765E-2</v>
      </c>
    </row>
    <row r="75" spans="1:18">
      <c r="A75" t="s">
        <v>73</v>
      </c>
      <c r="B75">
        <v>230800</v>
      </c>
      <c r="C75">
        <v>6288037</v>
      </c>
      <c r="D75">
        <v>42</v>
      </c>
      <c r="E75">
        <v>7</v>
      </c>
      <c r="F75">
        <v>67</v>
      </c>
      <c r="G75">
        <v>7.94</v>
      </c>
      <c r="L75" t="s">
        <v>73</v>
      </c>
      <c r="M75" s="2">
        <f t="shared" si="7"/>
        <v>-0.26647580664679971</v>
      </c>
      <c r="N75" s="2">
        <f t="shared" si="8"/>
        <v>-0.23506819818049374</v>
      </c>
      <c r="O75" s="2">
        <f t="shared" si="9"/>
        <v>0.37198734600921307</v>
      </c>
      <c r="P75" s="2">
        <f t="shared" si="10"/>
        <v>-0.96556533914855891</v>
      </c>
      <c r="Q75" s="2">
        <f t="shared" si="11"/>
        <v>-0.20726104356422478</v>
      </c>
      <c r="R75" s="2">
        <f t="shared" si="12"/>
        <v>-0.76837874449888344</v>
      </c>
    </row>
    <row r="76" spans="1:18">
      <c r="A76" t="s">
        <v>74</v>
      </c>
      <c r="B76">
        <v>1759540</v>
      </c>
      <c r="C76">
        <v>6422772</v>
      </c>
      <c r="D76">
        <v>13</v>
      </c>
      <c r="E76">
        <v>14</v>
      </c>
      <c r="F76">
        <v>75</v>
      </c>
      <c r="G76">
        <v>9.73</v>
      </c>
      <c r="L76" t="s">
        <v>74</v>
      </c>
      <c r="M76" s="2">
        <f t="shared" si="7"/>
        <v>0.51415206373604616</v>
      </c>
      <c r="N76" s="2">
        <f t="shared" si="8"/>
        <v>-0.23413621238981205</v>
      </c>
      <c r="O76" s="2">
        <f t="shared" si="9"/>
        <v>-0.61937207910832559</v>
      </c>
      <c r="P76" s="2">
        <f t="shared" si="10"/>
        <v>-0.71296388045489556</v>
      </c>
      <c r="Q76" s="2">
        <f t="shared" si="11"/>
        <v>0.59565279855277098</v>
      </c>
      <c r="R76" s="2">
        <f t="shared" si="12"/>
        <v>0.62415812345197041</v>
      </c>
    </row>
    <row r="77" spans="1:18">
      <c r="A77" t="s">
        <v>75</v>
      </c>
      <c r="B77">
        <v>397300</v>
      </c>
      <c r="C77">
        <v>6568290</v>
      </c>
      <c r="D77">
        <v>21</v>
      </c>
      <c r="E77">
        <v>20</v>
      </c>
      <c r="F77">
        <v>72</v>
      </c>
      <c r="G77">
        <v>8.6</v>
      </c>
      <c r="L77" t="s">
        <v>75</v>
      </c>
      <c r="M77" s="2">
        <f t="shared" si="7"/>
        <v>-0.18145510958991373</v>
      </c>
      <c r="N77" s="2">
        <f t="shared" si="8"/>
        <v>-0.23312963868373407</v>
      </c>
      <c r="O77" s="2">
        <f t="shared" si="9"/>
        <v>-0.34589361700693561</v>
      </c>
      <c r="P77" s="2">
        <f t="shared" si="10"/>
        <v>-0.49644834443175567</v>
      </c>
      <c r="Q77" s="2">
        <f t="shared" si="11"/>
        <v>0.29456010775889757</v>
      </c>
      <c r="R77" s="2">
        <f t="shared" si="12"/>
        <v>-0.25492939653935137</v>
      </c>
    </row>
    <row r="78" spans="1:18">
      <c r="A78" t="s">
        <v>76</v>
      </c>
      <c r="B78">
        <v>139960</v>
      </c>
      <c r="C78">
        <v>6976958</v>
      </c>
      <c r="D78">
        <v>52</v>
      </c>
      <c r="E78">
        <v>12</v>
      </c>
      <c r="F78">
        <v>67</v>
      </c>
      <c r="G78">
        <v>7.76</v>
      </c>
      <c r="L78" t="s">
        <v>76</v>
      </c>
      <c r="M78" s="2">
        <f t="shared" si="7"/>
        <v>-0.31286187343747546</v>
      </c>
      <c r="N78" s="2">
        <f t="shared" si="8"/>
        <v>-0.23030280995247421</v>
      </c>
      <c r="O78" s="2">
        <f t="shared" si="9"/>
        <v>0.71383542363595054</v>
      </c>
      <c r="P78" s="2">
        <f t="shared" si="10"/>
        <v>-0.78513572579594226</v>
      </c>
      <c r="Q78" s="2">
        <f t="shared" si="11"/>
        <v>-0.20726104356422478</v>
      </c>
      <c r="R78" s="2">
        <f t="shared" si="12"/>
        <v>-0.90841038485148373</v>
      </c>
    </row>
    <row r="79" spans="1:18">
      <c r="A79" t="s">
        <v>77</v>
      </c>
      <c r="B79">
        <v>452860</v>
      </c>
      <c r="C79">
        <v>7013829</v>
      </c>
      <c r="D79">
        <v>47</v>
      </c>
      <c r="E79">
        <v>1</v>
      </c>
      <c r="F79">
        <v>62</v>
      </c>
      <c r="G79">
        <v>7.9</v>
      </c>
      <c r="L79" t="s">
        <v>77</v>
      </c>
      <c r="M79" s="2">
        <f t="shared" si="7"/>
        <v>-0.1530842391485889</v>
      </c>
      <c r="N79" s="2">
        <f t="shared" si="8"/>
        <v>-0.23004776673365041</v>
      </c>
      <c r="O79" s="2">
        <f t="shared" si="9"/>
        <v>0.54291138482258183</v>
      </c>
      <c r="P79" s="2">
        <f t="shared" si="10"/>
        <v>-1.1820808751716987</v>
      </c>
      <c r="Q79" s="2">
        <f t="shared" si="11"/>
        <v>-0.70908219488734714</v>
      </c>
      <c r="R79" s="2">
        <f t="shared" si="12"/>
        <v>-0.79949688679946129</v>
      </c>
    </row>
    <row r="80" spans="1:18">
      <c r="A80" t="s">
        <v>78</v>
      </c>
      <c r="B80">
        <v>108560</v>
      </c>
      <c r="C80">
        <v>7476000</v>
      </c>
      <c r="D80">
        <v>11</v>
      </c>
      <c r="E80">
        <v>46</v>
      </c>
      <c r="F80">
        <v>74</v>
      </c>
      <c r="G80">
        <v>9.59</v>
      </c>
      <c r="L80" t="s">
        <v>78</v>
      </c>
      <c r="M80" s="2">
        <f t="shared" si="7"/>
        <v>-0.32889580669625157</v>
      </c>
      <c r="N80" s="2">
        <f t="shared" si="8"/>
        <v>-0.22685084830217278</v>
      </c>
      <c r="O80" s="2">
        <f t="shared" si="9"/>
        <v>-0.68774169463367307</v>
      </c>
      <c r="P80" s="2">
        <f t="shared" si="10"/>
        <v>0.44178564500185075</v>
      </c>
      <c r="Q80" s="2">
        <f t="shared" si="11"/>
        <v>0.49528856828814655</v>
      </c>
      <c r="R80" s="2">
        <f t="shared" si="12"/>
        <v>0.51524462539994786</v>
      </c>
    </row>
    <row r="81" spans="1:18">
      <c r="A81" t="s">
        <v>79</v>
      </c>
      <c r="B81">
        <v>111890</v>
      </c>
      <c r="C81">
        <v>7754687</v>
      </c>
      <c r="D81">
        <v>20</v>
      </c>
      <c r="E81">
        <v>11</v>
      </c>
      <c r="F81">
        <v>73</v>
      </c>
      <c r="G81">
        <v>8.31</v>
      </c>
      <c r="L81" t="s">
        <v>79</v>
      </c>
      <c r="M81" s="2">
        <f t="shared" si="7"/>
        <v>-0.32719539275511383</v>
      </c>
      <c r="N81" s="2">
        <f t="shared" si="8"/>
        <v>-0.22492312110398593</v>
      </c>
      <c r="O81" s="2">
        <f t="shared" si="9"/>
        <v>-0.38007842476960935</v>
      </c>
      <c r="P81" s="2">
        <f t="shared" si="10"/>
        <v>-0.82122164846646561</v>
      </c>
      <c r="Q81" s="2">
        <f t="shared" si="11"/>
        <v>0.39492433802352206</v>
      </c>
      <c r="R81" s="2">
        <f t="shared" si="12"/>
        <v>-0.4805359282185393</v>
      </c>
    </row>
    <row r="82" spans="1:18">
      <c r="A82" t="s">
        <v>80</v>
      </c>
      <c r="B82">
        <v>21640</v>
      </c>
      <c r="C82">
        <v>7765700</v>
      </c>
      <c r="D82">
        <v>4</v>
      </c>
      <c r="E82">
        <v>65</v>
      </c>
      <c r="F82">
        <v>82</v>
      </c>
      <c r="G82">
        <v>10.24</v>
      </c>
      <c r="L82" t="s">
        <v>80</v>
      </c>
      <c r="M82" s="2">
        <f t="shared" si="7"/>
        <v>-0.37328018500366617</v>
      </c>
      <c r="N82" s="2">
        <f t="shared" si="8"/>
        <v>-0.22484694223796911</v>
      </c>
      <c r="O82" s="2">
        <f t="shared" si="9"/>
        <v>-0.92703534897238926</v>
      </c>
      <c r="P82" s="2">
        <f t="shared" si="10"/>
        <v>1.1274181757417938</v>
      </c>
      <c r="Q82" s="2">
        <f t="shared" si="11"/>
        <v>1.2982024104051424</v>
      </c>
      <c r="R82" s="2">
        <f t="shared" si="12"/>
        <v>1.0209144377843364</v>
      </c>
    </row>
    <row r="83" spans="1:18">
      <c r="A83" t="s">
        <v>81</v>
      </c>
      <c r="B83">
        <v>83600</v>
      </c>
      <c r="C83">
        <v>7890924</v>
      </c>
      <c r="D83">
        <v>6</v>
      </c>
      <c r="E83">
        <v>78</v>
      </c>
      <c r="F83">
        <v>77</v>
      </c>
      <c r="G83">
        <v>10.78</v>
      </c>
      <c r="L83" t="s">
        <v>81</v>
      </c>
      <c r="M83" s="2">
        <f t="shared" si="7"/>
        <v>-0.34164125173252707</v>
      </c>
      <c r="N83" s="2">
        <f t="shared" si="8"/>
        <v>-0.22398074571403456</v>
      </c>
      <c r="O83" s="2">
        <f t="shared" si="9"/>
        <v>-0.85866573344704178</v>
      </c>
      <c r="P83" s="2">
        <f t="shared" si="10"/>
        <v>1.5965351704585971</v>
      </c>
      <c r="Q83" s="2">
        <f t="shared" si="11"/>
        <v>0.79638125908201995</v>
      </c>
      <c r="R83" s="2">
        <f t="shared" si="12"/>
        <v>1.4410093588421351</v>
      </c>
    </row>
    <row r="84" spans="1:18">
      <c r="A84" t="s">
        <v>82</v>
      </c>
      <c r="B84">
        <v>40000</v>
      </c>
      <c r="C84">
        <v>7907000</v>
      </c>
      <c r="D84">
        <v>4</v>
      </c>
      <c r="E84">
        <v>82</v>
      </c>
      <c r="F84">
        <v>82</v>
      </c>
      <c r="G84">
        <v>10.78</v>
      </c>
      <c r="L84" t="s">
        <v>82</v>
      </c>
      <c r="M84" s="2">
        <f t="shared" si="7"/>
        <v>-0.36390492976063654</v>
      </c>
      <c r="N84" s="2">
        <f t="shared" si="8"/>
        <v>-0.22386954518283628</v>
      </c>
      <c r="O84" s="2">
        <f t="shared" si="9"/>
        <v>-0.92703534897238926</v>
      </c>
      <c r="P84" s="2">
        <f t="shared" si="10"/>
        <v>1.7408788611406905</v>
      </c>
      <c r="Q84" s="2">
        <f t="shared" si="11"/>
        <v>1.2982024104051424</v>
      </c>
      <c r="R84" s="2">
        <f t="shared" si="12"/>
        <v>1.4410093588421351</v>
      </c>
    </row>
    <row r="85" spans="1:18">
      <c r="A85" t="s">
        <v>83</v>
      </c>
      <c r="B85">
        <v>82430</v>
      </c>
      <c r="C85">
        <v>8419000</v>
      </c>
      <c r="D85">
        <v>4</v>
      </c>
      <c r="E85">
        <v>73</v>
      </c>
      <c r="F85">
        <v>80</v>
      </c>
      <c r="G85">
        <v>10.65</v>
      </c>
      <c r="L85" t="s">
        <v>83</v>
      </c>
      <c r="M85" s="2">
        <f t="shared" si="7"/>
        <v>-0.3422386944686025</v>
      </c>
      <c r="N85" s="2">
        <f t="shared" si="8"/>
        <v>-0.22032795075800965</v>
      </c>
      <c r="O85" s="2">
        <f t="shared" si="9"/>
        <v>-0.92703534897238926</v>
      </c>
      <c r="P85" s="2">
        <f t="shared" si="10"/>
        <v>1.4161055571059804</v>
      </c>
      <c r="Q85" s="2">
        <f t="shared" si="11"/>
        <v>1.0974739498758934</v>
      </c>
      <c r="R85" s="2">
        <f t="shared" si="12"/>
        <v>1.3398753963652583</v>
      </c>
    </row>
    <row r="86" spans="1:18">
      <c r="A86" t="s">
        <v>84</v>
      </c>
      <c r="B86">
        <v>25680</v>
      </c>
      <c r="C86">
        <v>8575172</v>
      </c>
      <c r="D86">
        <v>88</v>
      </c>
      <c r="E86">
        <v>2</v>
      </c>
      <c r="F86">
        <v>50</v>
      </c>
      <c r="G86">
        <v>6.41</v>
      </c>
      <c r="L86" t="s">
        <v>84</v>
      </c>
      <c r="M86" s="2">
        <f t="shared" si="7"/>
        <v>-0.37121722034234589</v>
      </c>
      <c r="N86" s="2">
        <f t="shared" si="8"/>
        <v>-0.21924768145231818</v>
      </c>
      <c r="O86" s="2">
        <f t="shared" si="9"/>
        <v>1.9444885030922052</v>
      </c>
      <c r="P86" s="2">
        <f t="shared" si="10"/>
        <v>-1.1459949525011754</v>
      </c>
      <c r="Q86" s="2">
        <f t="shared" si="11"/>
        <v>-1.9134529580628408</v>
      </c>
      <c r="R86" s="2">
        <f t="shared" si="12"/>
        <v>-1.9586476874959822</v>
      </c>
    </row>
    <row r="87" spans="1:18">
      <c r="A87" t="s">
        <v>85</v>
      </c>
      <c r="B87">
        <v>110620</v>
      </c>
      <c r="C87">
        <v>9099922</v>
      </c>
      <c r="D87">
        <v>73</v>
      </c>
      <c r="E87">
        <v>3</v>
      </c>
      <c r="F87">
        <v>56</v>
      </c>
      <c r="G87">
        <v>7.4</v>
      </c>
      <c r="L87" t="s">
        <v>85</v>
      </c>
      <c r="M87" s="2">
        <f t="shared" si="7"/>
        <v>-0.32784389897290511</v>
      </c>
      <c r="N87" s="2">
        <f t="shared" si="8"/>
        <v>-0.21561789302570142</v>
      </c>
      <c r="O87" s="2">
        <f t="shared" si="9"/>
        <v>1.4317163866520992</v>
      </c>
      <c r="P87" s="2">
        <f t="shared" si="10"/>
        <v>-1.1099090298306522</v>
      </c>
      <c r="Q87" s="2">
        <f t="shared" si="11"/>
        <v>-1.3112675764750941</v>
      </c>
      <c r="R87" s="2">
        <f t="shared" si="12"/>
        <v>-1.188473665556683</v>
      </c>
    </row>
    <row r="88" spans="1:18">
      <c r="A88" t="s">
        <v>86</v>
      </c>
      <c r="B88">
        <v>82620</v>
      </c>
      <c r="C88">
        <v>9168000</v>
      </c>
      <c r="D88">
        <v>39</v>
      </c>
      <c r="E88">
        <v>47</v>
      </c>
      <c r="F88">
        <v>71</v>
      </c>
      <c r="G88">
        <v>9.2200000000000006</v>
      </c>
      <c r="L88" t="s">
        <v>86</v>
      </c>
      <c r="M88" s="2">
        <f t="shared" si="7"/>
        <v>-0.34214167385334238</v>
      </c>
      <c r="N88" s="2">
        <f t="shared" si="8"/>
        <v>-0.21514698547637848</v>
      </c>
      <c r="O88" s="2">
        <f t="shared" si="9"/>
        <v>0.26943292272119185</v>
      </c>
      <c r="P88" s="2">
        <f t="shared" si="10"/>
        <v>0.47787156767237404</v>
      </c>
      <c r="Q88" s="2">
        <f t="shared" si="11"/>
        <v>0.19419587749427311</v>
      </c>
      <c r="R88" s="2">
        <f t="shared" si="12"/>
        <v>0.22740180911960436</v>
      </c>
    </row>
    <row r="89" spans="1:18">
      <c r="A89" t="s">
        <v>87</v>
      </c>
      <c r="B89">
        <v>410340</v>
      </c>
      <c r="C89">
        <v>9453000</v>
      </c>
      <c r="D89">
        <v>2</v>
      </c>
      <c r="E89">
        <v>90</v>
      </c>
      <c r="F89">
        <v>81</v>
      </c>
      <c r="G89">
        <v>10.63</v>
      </c>
      <c r="L89" t="s">
        <v>87</v>
      </c>
      <c r="M89" s="2">
        <f t="shared" si="7"/>
        <v>-0.17479643157416722</v>
      </c>
      <c r="N89" s="2">
        <f t="shared" si="8"/>
        <v>-0.21317559014224646</v>
      </c>
      <c r="O89" s="2">
        <f t="shared" si="9"/>
        <v>-0.99540496449773674</v>
      </c>
      <c r="P89" s="2">
        <f t="shared" si="10"/>
        <v>2.029566242504877</v>
      </c>
      <c r="Q89" s="2">
        <f t="shared" si="11"/>
        <v>1.1978381801405178</v>
      </c>
      <c r="R89" s="2">
        <f t="shared" si="12"/>
        <v>1.3243163252149699</v>
      </c>
    </row>
    <row r="90" spans="1:18">
      <c r="A90" t="s">
        <v>88</v>
      </c>
      <c r="B90">
        <v>202820</v>
      </c>
      <c r="C90">
        <v>9473000</v>
      </c>
      <c r="D90">
        <v>4</v>
      </c>
      <c r="E90">
        <v>32</v>
      </c>
      <c r="F90">
        <v>70</v>
      </c>
      <c r="G90">
        <v>9.6199999999999992</v>
      </c>
      <c r="L90" t="s">
        <v>88</v>
      </c>
      <c r="M90" s="2">
        <f t="shared" si="7"/>
        <v>-0.28076336883089381</v>
      </c>
      <c r="N90" s="2">
        <f t="shared" si="8"/>
        <v>-0.21303724661002668</v>
      </c>
      <c r="O90" s="2">
        <f t="shared" si="9"/>
        <v>-0.92703534897238926</v>
      </c>
      <c r="P90" s="2">
        <f t="shared" si="10"/>
        <v>-6.3417272385475787E-2</v>
      </c>
      <c r="Q90" s="2">
        <f t="shared" si="11"/>
        <v>9.3831647229648638E-2</v>
      </c>
      <c r="R90" s="2">
        <f t="shared" si="12"/>
        <v>0.53858323212538062</v>
      </c>
    </row>
    <row r="91" spans="1:18">
      <c r="A91" t="s">
        <v>89</v>
      </c>
      <c r="B91">
        <v>90530</v>
      </c>
      <c r="C91">
        <v>9971000</v>
      </c>
      <c r="D91">
        <v>5</v>
      </c>
      <c r="E91">
        <v>65</v>
      </c>
      <c r="F91">
        <v>74</v>
      </c>
      <c r="G91">
        <v>9.99</v>
      </c>
      <c r="L91" t="s">
        <v>89</v>
      </c>
      <c r="M91" s="2">
        <f t="shared" si="7"/>
        <v>-0.33810255244961884</v>
      </c>
      <c r="N91" s="2">
        <f t="shared" si="8"/>
        <v>-0.20959249265775387</v>
      </c>
      <c r="O91" s="2">
        <f t="shared" si="9"/>
        <v>-0.89285054120971552</v>
      </c>
      <c r="P91" s="2">
        <f t="shared" si="10"/>
        <v>1.1274181757417938</v>
      </c>
      <c r="Q91" s="2">
        <f t="shared" si="11"/>
        <v>0.49528856828814655</v>
      </c>
      <c r="R91" s="2">
        <f t="shared" si="12"/>
        <v>0.82642604840572553</v>
      </c>
    </row>
    <row r="92" spans="1:18">
      <c r="A92" t="s">
        <v>90</v>
      </c>
      <c r="B92">
        <v>48320</v>
      </c>
      <c r="C92">
        <v>10056181</v>
      </c>
      <c r="D92">
        <v>22</v>
      </c>
      <c r="E92">
        <v>40</v>
      </c>
      <c r="F92">
        <v>73</v>
      </c>
      <c r="G92">
        <v>9.1999999999999993</v>
      </c>
      <c r="L92" t="s">
        <v>90</v>
      </c>
      <c r="M92" s="2">
        <f t="shared" si="7"/>
        <v>-0.35965644808187808</v>
      </c>
      <c r="N92" s="2">
        <f t="shared" si="8"/>
        <v>-0.20900328063685319</v>
      </c>
      <c r="O92" s="2">
        <f t="shared" si="9"/>
        <v>-0.31170880924426186</v>
      </c>
      <c r="P92" s="2">
        <f t="shared" si="10"/>
        <v>0.2252701089787108</v>
      </c>
      <c r="Q92" s="2">
        <f t="shared" si="11"/>
        <v>0.39492433802352206</v>
      </c>
      <c r="R92" s="2">
        <f t="shared" si="12"/>
        <v>0.21184273796931444</v>
      </c>
    </row>
    <row r="93" spans="1:18">
      <c r="A93" t="s">
        <v>91</v>
      </c>
      <c r="B93">
        <v>1083300</v>
      </c>
      <c r="C93">
        <v>10088108</v>
      </c>
      <c r="D93">
        <v>42</v>
      </c>
      <c r="E93">
        <v>20</v>
      </c>
      <c r="F93">
        <v>66</v>
      </c>
      <c r="G93">
        <v>8.5399999999999991</v>
      </c>
      <c r="L93" t="s">
        <v>91</v>
      </c>
      <c r="M93" s="2">
        <f t="shared" si="7"/>
        <v>0.16884037498079957</v>
      </c>
      <c r="N93" s="2">
        <f t="shared" si="8"/>
        <v>-0.20878243593919413</v>
      </c>
      <c r="O93" s="2">
        <f t="shared" si="9"/>
        <v>0.37198734600921307</v>
      </c>
      <c r="P93" s="2">
        <f t="shared" si="10"/>
        <v>-0.49644834443175567</v>
      </c>
      <c r="Q93" s="2">
        <f t="shared" si="11"/>
        <v>-0.30762527382884924</v>
      </c>
      <c r="R93" s="2">
        <f t="shared" si="12"/>
        <v>-0.30160660999021838</v>
      </c>
    </row>
    <row r="94" spans="1:18">
      <c r="A94" t="s">
        <v>92</v>
      </c>
      <c r="B94">
        <v>27560</v>
      </c>
      <c r="C94">
        <v>10123787</v>
      </c>
      <c r="D94">
        <v>70</v>
      </c>
      <c r="E94">
        <v>8</v>
      </c>
      <c r="F94">
        <v>62</v>
      </c>
      <c r="G94">
        <v>7.07</v>
      </c>
      <c r="L94" t="s">
        <v>92</v>
      </c>
      <c r="M94" s="2">
        <f t="shared" si="7"/>
        <v>-0.37025722688608798</v>
      </c>
      <c r="N94" s="2">
        <f t="shared" si="8"/>
        <v>-0.20853563799489061</v>
      </c>
      <c r="O94" s="2">
        <f t="shared" si="9"/>
        <v>1.3291619633640779</v>
      </c>
      <c r="P94" s="2">
        <f t="shared" si="10"/>
        <v>-0.92947941647803556</v>
      </c>
      <c r="Q94" s="2">
        <f t="shared" si="11"/>
        <v>-0.70908219488734714</v>
      </c>
      <c r="R94" s="2">
        <f t="shared" si="12"/>
        <v>-1.4451983395364494</v>
      </c>
    </row>
    <row r="95" spans="1:18">
      <c r="A95" t="s">
        <v>93</v>
      </c>
      <c r="B95">
        <v>245720</v>
      </c>
      <c r="C95">
        <v>10221808</v>
      </c>
      <c r="D95">
        <v>81</v>
      </c>
      <c r="E95">
        <v>1</v>
      </c>
      <c r="F95">
        <v>54</v>
      </c>
      <c r="G95">
        <v>7.03</v>
      </c>
      <c r="L95" t="s">
        <v>93</v>
      </c>
      <c r="M95" s="2">
        <f t="shared" si="7"/>
        <v>-0.25885713517479525</v>
      </c>
      <c r="N95" s="2">
        <f t="shared" si="8"/>
        <v>-0.20785760942630482</v>
      </c>
      <c r="O95" s="2">
        <f t="shared" si="9"/>
        <v>1.7051948487534891</v>
      </c>
      <c r="P95" s="2">
        <f t="shared" si="10"/>
        <v>-1.1820808751716987</v>
      </c>
      <c r="Q95" s="2">
        <f t="shared" si="11"/>
        <v>-1.511996037004343</v>
      </c>
      <c r="R95" s="2">
        <f t="shared" si="12"/>
        <v>-1.4763164818370271</v>
      </c>
    </row>
    <row r="96" spans="1:18">
      <c r="A96" t="s">
        <v>94</v>
      </c>
      <c r="B96">
        <v>77250</v>
      </c>
      <c r="C96">
        <v>10546000</v>
      </c>
      <c r="D96">
        <v>3</v>
      </c>
      <c r="E96">
        <v>69</v>
      </c>
      <c r="F96">
        <v>77</v>
      </c>
      <c r="G96">
        <v>10.16</v>
      </c>
      <c r="L96" t="s">
        <v>94</v>
      </c>
      <c r="M96" s="2">
        <f t="shared" si="7"/>
        <v>-0.34488378282148341</v>
      </c>
      <c r="N96" s="2">
        <f t="shared" si="8"/>
        <v>-0.2056151161064349</v>
      </c>
      <c r="O96" s="2">
        <f t="shared" si="9"/>
        <v>-0.961220156735063</v>
      </c>
      <c r="P96" s="2">
        <f t="shared" si="10"/>
        <v>1.2717618664238872</v>
      </c>
      <c r="Q96" s="2">
        <f t="shared" si="11"/>
        <v>0.79638125908201995</v>
      </c>
      <c r="R96" s="2">
        <f t="shared" si="12"/>
        <v>0.95867815318318084</v>
      </c>
    </row>
    <row r="97" spans="1:18">
      <c r="A97" t="s">
        <v>95</v>
      </c>
      <c r="B97">
        <v>91470</v>
      </c>
      <c r="C97">
        <v>10637000</v>
      </c>
      <c r="D97">
        <v>3</v>
      </c>
      <c r="E97">
        <v>51</v>
      </c>
      <c r="F97">
        <v>79</v>
      </c>
      <c r="G97">
        <v>10.14</v>
      </c>
      <c r="L97" t="s">
        <v>95</v>
      </c>
      <c r="M97" s="2">
        <f t="shared" si="7"/>
        <v>-0.33762255572148991</v>
      </c>
      <c r="N97" s="2">
        <f t="shared" si="8"/>
        <v>-0.20498565303483485</v>
      </c>
      <c r="O97" s="2">
        <f t="shared" si="9"/>
        <v>-0.961220156735063</v>
      </c>
      <c r="P97" s="2">
        <f t="shared" si="10"/>
        <v>0.62221525835446734</v>
      </c>
      <c r="Q97" s="2">
        <f t="shared" si="11"/>
        <v>0.99710971961126893</v>
      </c>
      <c r="R97" s="2">
        <f t="shared" si="12"/>
        <v>0.9431190820328923</v>
      </c>
    </row>
    <row r="98" spans="1:18">
      <c r="A98" t="s">
        <v>96</v>
      </c>
      <c r="B98">
        <v>155360</v>
      </c>
      <c r="C98">
        <v>10673800</v>
      </c>
      <c r="D98">
        <v>14</v>
      </c>
      <c r="E98">
        <v>37</v>
      </c>
      <c r="F98">
        <v>75</v>
      </c>
      <c r="G98">
        <v>9.15</v>
      </c>
      <c r="L98" t="s">
        <v>96</v>
      </c>
      <c r="M98" s="2">
        <f t="shared" si="7"/>
        <v>-0.30499809725323496</v>
      </c>
      <c r="N98" s="2">
        <f t="shared" si="8"/>
        <v>-0.20473110093555044</v>
      </c>
      <c r="O98" s="2">
        <f t="shared" si="9"/>
        <v>-0.58518727134565185</v>
      </c>
      <c r="P98" s="2">
        <f t="shared" si="10"/>
        <v>0.11701234096714083</v>
      </c>
      <c r="Q98" s="2">
        <f t="shared" si="11"/>
        <v>0.59565279855277098</v>
      </c>
      <c r="R98" s="2">
        <f t="shared" si="12"/>
        <v>0.17294506009359309</v>
      </c>
    </row>
    <row r="99" spans="1:18">
      <c r="A99" t="s">
        <v>97</v>
      </c>
      <c r="B99">
        <v>24670</v>
      </c>
      <c r="C99">
        <v>10942950</v>
      </c>
      <c r="D99">
        <v>59</v>
      </c>
      <c r="E99">
        <v>13</v>
      </c>
      <c r="F99">
        <v>55</v>
      </c>
      <c r="G99">
        <v>7.13</v>
      </c>
      <c r="L99" t="s">
        <v>97</v>
      </c>
      <c r="M99" s="2">
        <f t="shared" si="7"/>
        <v>-0.37173296150767599</v>
      </c>
      <c r="N99" s="2">
        <f t="shared" si="8"/>
        <v>-0.2028693428507026</v>
      </c>
      <c r="O99" s="2">
        <f t="shared" si="9"/>
        <v>0.95312907797466684</v>
      </c>
      <c r="P99" s="2">
        <f t="shared" si="10"/>
        <v>-0.74904980312541891</v>
      </c>
      <c r="Q99" s="2">
        <f t="shared" si="11"/>
        <v>-1.4116318067397184</v>
      </c>
      <c r="R99" s="2">
        <f t="shared" si="12"/>
        <v>-1.398521126085583</v>
      </c>
    </row>
    <row r="100" spans="1:18">
      <c r="A100" t="s">
        <v>98</v>
      </c>
      <c r="B100">
        <v>30280</v>
      </c>
      <c r="C100">
        <v>11008000</v>
      </c>
      <c r="D100">
        <v>4</v>
      </c>
      <c r="E100">
        <v>74</v>
      </c>
      <c r="F100">
        <v>80</v>
      </c>
      <c r="G100">
        <v>10.56</v>
      </c>
      <c r="L100" t="s">
        <v>98</v>
      </c>
      <c r="M100" s="2">
        <f t="shared" si="7"/>
        <v>-0.36886830018341693</v>
      </c>
      <c r="N100" s="2">
        <f t="shared" si="8"/>
        <v>-0.20241938051215774</v>
      </c>
      <c r="O100" s="2">
        <f t="shared" si="9"/>
        <v>-0.92703534897238926</v>
      </c>
      <c r="P100" s="2">
        <f t="shared" si="10"/>
        <v>1.4521914797765039</v>
      </c>
      <c r="Q100" s="2">
        <f t="shared" si="11"/>
        <v>1.0974739498758934</v>
      </c>
      <c r="R100" s="2">
        <f t="shared" si="12"/>
        <v>1.2698595761889586</v>
      </c>
    </row>
    <row r="101" spans="1:18">
      <c r="A101" t="s">
        <v>99</v>
      </c>
      <c r="B101">
        <v>128900</v>
      </c>
      <c r="C101">
        <v>11304000</v>
      </c>
      <c r="D101">
        <v>3</v>
      </c>
      <c r="E101">
        <v>45</v>
      </c>
      <c r="F101">
        <v>80</v>
      </c>
      <c r="G101">
        <v>10.199999999999999</v>
      </c>
      <c r="L101" t="s">
        <v>99</v>
      </c>
      <c r="M101" s="2">
        <f t="shared" si="7"/>
        <v>-0.31850949451524818</v>
      </c>
      <c r="N101" s="2">
        <f t="shared" si="8"/>
        <v>-0.20037189623530482</v>
      </c>
      <c r="O101" s="2">
        <f t="shared" si="9"/>
        <v>-0.961220156735063</v>
      </c>
      <c r="P101" s="2">
        <f t="shared" si="10"/>
        <v>0.40569972233132739</v>
      </c>
      <c r="Q101" s="2">
        <f t="shared" si="11"/>
        <v>1.0974739498758934</v>
      </c>
      <c r="R101" s="2">
        <f t="shared" si="12"/>
        <v>0.98979629548375792</v>
      </c>
    </row>
    <row r="102" spans="1:18">
      <c r="A102" t="s">
        <v>100</v>
      </c>
      <c r="B102">
        <v>1259200</v>
      </c>
      <c r="C102">
        <v>11525496</v>
      </c>
      <c r="D102">
        <v>99</v>
      </c>
      <c r="E102">
        <v>2</v>
      </c>
      <c r="F102">
        <v>49</v>
      </c>
      <c r="G102">
        <v>7.33</v>
      </c>
      <c r="L102" t="s">
        <v>100</v>
      </c>
      <c r="M102" s="2">
        <f t="shared" si="7"/>
        <v>0.25866103931897516</v>
      </c>
      <c r="N102" s="2">
        <f t="shared" si="8"/>
        <v>-0.19883976928467709</v>
      </c>
      <c r="O102" s="2">
        <f t="shared" si="9"/>
        <v>2.3205213884816165</v>
      </c>
      <c r="P102" s="2">
        <f t="shared" si="10"/>
        <v>-1.1459949525011754</v>
      </c>
      <c r="Q102" s="2">
        <f t="shared" si="11"/>
        <v>-2.0138171883274651</v>
      </c>
      <c r="R102" s="2">
        <f t="shared" si="12"/>
        <v>-1.2429304145826943</v>
      </c>
    </row>
    <row r="103" spans="1:18">
      <c r="A103" t="s">
        <v>101</v>
      </c>
      <c r="B103">
        <v>192530</v>
      </c>
      <c r="C103">
        <v>12767556</v>
      </c>
      <c r="D103">
        <v>50</v>
      </c>
      <c r="E103">
        <v>16</v>
      </c>
      <c r="F103">
        <v>59</v>
      </c>
      <c r="G103">
        <v>7.59</v>
      </c>
      <c r="L103" t="s">
        <v>101</v>
      </c>
      <c r="M103" s="2">
        <f t="shared" si="7"/>
        <v>-0.28601780109945452</v>
      </c>
      <c r="N103" s="2">
        <f t="shared" si="8"/>
        <v>-0.19024822090323143</v>
      </c>
      <c r="O103" s="2">
        <f t="shared" si="9"/>
        <v>0.64546580811060306</v>
      </c>
      <c r="P103" s="2">
        <f t="shared" si="10"/>
        <v>-0.64079203511384897</v>
      </c>
      <c r="Q103" s="2">
        <f t="shared" si="11"/>
        <v>-1.0101748856812205</v>
      </c>
      <c r="R103" s="2">
        <f t="shared" si="12"/>
        <v>-1.0406624896289391</v>
      </c>
    </row>
    <row r="104" spans="1:18">
      <c r="A104" t="s">
        <v>102</v>
      </c>
      <c r="B104">
        <v>743390</v>
      </c>
      <c r="C104">
        <v>13474959</v>
      </c>
      <c r="D104">
        <v>69</v>
      </c>
      <c r="E104">
        <v>10</v>
      </c>
      <c r="F104">
        <v>48</v>
      </c>
      <c r="G104">
        <v>7.39</v>
      </c>
      <c r="L104" t="s">
        <v>102</v>
      </c>
      <c r="M104" s="2">
        <f t="shared" si="7"/>
        <v>-4.7295057195373951E-3</v>
      </c>
      <c r="N104" s="2">
        <f t="shared" si="8"/>
        <v>-0.18535498941708761</v>
      </c>
      <c r="O104" s="2">
        <f t="shared" si="9"/>
        <v>1.294977155601404</v>
      </c>
      <c r="P104" s="2">
        <f t="shared" si="10"/>
        <v>-0.85730757113698886</v>
      </c>
      <c r="Q104" s="2">
        <f t="shared" si="11"/>
        <v>-2.1141814185920897</v>
      </c>
      <c r="R104" s="2">
        <f t="shared" si="12"/>
        <v>-1.1962532011318279</v>
      </c>
    </row>
    <row r="105" spans="1:18">
      <c r="A105" t="s">
        <v>103</v>
      </c>
      <c r="B105">
        <v>176520</v>
      </c>
      <c r="C105">
        <v>14305183</v>
      </c>
      <c r="D105">
        <v>43</v>
      </c>
      <c r="E105">
        <v>1</v>
      </c>
      <c r="F105">
        <v>63</v>
      </c>
      <c r="G105">
        <v>7.77</v>
      </c>
      <c r="L105" t="s">
        <v>103</v>
      </c>
      <c r="M105" s="2">
        <f t="shared" si="7"/>
        <v>-0.29419306452216165</v>
      </c>
      <c r="N105" s="2">
        <f t="shared" si="8"/>
        <v>-0.17961218338240542</v>
      </c>
      <c r="O105" s="2">
        <f t="shared" si="9"/>
        <v>0.40617215377188681</v>
      </c>
      <c r="P105" s="2">
        <f t="shared" si="10"/>
        <v>-1.1820808751716987</v>
      </c>
      <c r="Q105" s="2">
        <f t="shared" si="11"/>
        <v>-0.60871796462272265</v>
      </c>
      <c r="R105" s="2">
        <f t="shared" si="12"/>
        <v>-0.90063084927633952</v>
      </c>
    </row>
    <row r="106" spans="1:18">
      <c r="A106" t="s">
        <v>104</v>
      </c>
      <c r="B106">
        <v>248360</v>
      </c>
      <c r="C106">
        <v>14666055</v>
      </c>
      <c r="D106">
        <v>18</v>
      </c>
      <c r="E106">
        <v>29</v>
      </c>
      <c r="F106">
        <v>75</v>
      </c>
      <c r="G106">
        <v>9.0500000000000007</v>
      </c>
      <c r="L106" t="s">
        <v>104</v>
      </c>
      <c r="M106" s="2">
        <f t="shared" si="7"/>
        <v>-0.2575090592574969</v>
      </c>
      <c r="N106" s="2">
        <f t="shared" si="8"/>
        <v>-0.1771159680244444</v>
      </c>
      <c r="O106" s="2">
        <f t="shared" si="9"/>
        <v>-0.44844804029495683</v>
      </c>
      <c r="P106" s="2">
        <f t="shared" si="10"/>
        <v>-0.17167504039704576</v>
      </c>
      <c r="Q106" s="2">
        <f t="shared" si="11"/>
        <v>0.59565279855277098</v>
      </c>
      <c r="R106" s="2">
        <f t="shared" si="12"/>
        <v>9.5149704342149033E-2</v>
      </c>
    </row>
    <row r="107" spans="1:18">
      <c r="A107" t="s">
        <v>105</v>
      </c>
      <c r="B107">
        <v>107160</v>
      </c>
      <c r="C107">
        <v>14757316</v>
      </c>
      <c r="D107">
        <v>25</v>
      </c>
      <c r="E107">
        <v>11</v>
      </c>
      <c r="F107">
        <v>71</v>
      </c>
      <c r="G107">
        <v>8.51</v>
      </c>
      <c r="L107" t="s">
        <v>105</v>
      </c>
      <c r="M107" s="2">
        <f t="shared" si="7"/>
        <v>-0.32961069544027344</v>
      </c>
      <c r="N107" s="2">
        <f t="shared" si="8"/>
        <v>-0.17648469956974891</v>
      </c>
      <c r="O107" s="2">
        <f t="shared" si="9"/>
        <v>-0.20915438595624061</v>
      </c>
      <c r="P107" s="2">
        <f t="shared" si="10"/>
        <v>-0.82122164846646561</v>
      </c>
      <c r="Q107" s="2">
        <f t="shared" si="11"/>
        <v>0.19419587749427311</v>
      </c>
      <c r="R107" s="2">
        <f t="shared" si="12"/>
        <v>-0.32494521671565119</v>
      </c>
    </row>
    <row r="108" spans="1:18">
      <c r="A108" t="s">
        <v>106</v>
      </c>
      <c r="B108">
        <v>94280</v>
      </c>
      <c r="C108">
        <v>15380888</v>
      </c>
      <c r="D108">
        <v>58</v>
      </c>
      <c r="E108">
        <v>2</v>
      </c>
      <c r="F108">
        <v>53</v>
      </c>
      <c r="G108">
        <v>6.82</v>
      </c>
      <c r="L108" t="s">
        <v>106</v>
      </c>
      <c r="M108" s="2">
        <f t="shared" si="7"/>
        <v>-0.3361876718852746</v>
      </c>
      <c r="N108" s="2">
        <f t="shared" si="8"/>
        <v>-0.17217134191608094</v>
      </c>
      <c r="O108" s="2">
        <f t="shared" si="9"/>
        <v>0.9189442702119931</v>
      </c>
      <c r="P108" s="2">
        <f t="shared" si="10"/>
        <v>-1.1459949525011754</v>
      </c>
      <c r="Q108" s="2">
        <f t="shared" si="11"/>
        <v>-1.6123602672689674</v>
      </c>
      <c r="R108" s="2">
        <f t="shared" si="12"/>
        <v>-1.6396867289150603</v>
      </c>
    </row>
    <row r="109" spans="1:18">
      <c r="A109" t="s">
        <v>107</v>
      </c>
      <c r="B109">
        <v>1220190</v>
      </c>
      <c r="C109">
        <v>15839538</v>
      </c>
      <c r="D109">
        <v>99</v>
      </c>
      <c r="E109">
        <v>3</v>
      </c>
      <c r="F109">
        <v>51</v>
      </c>
      <c r="G109">
        <v>7</v>
      </c>
      <c r="L109" t="s">
        <v>107</v>
      </c>
      <c r="M109" s="2">
        <f t="shared" si="7"/>
        <v>0.2387411751016231</v>
      </c>
      <c r="N109" s="2">
        <f t="shared" si="8"/>
        <v>-0.16899877886345058</v>
      </c>
      <c r="O109" s="2">
        <f t="shared" si="9"/>
        <v>2.3205213884816165</v>
      </c>
      <c r="P109" s="2">
        <f t="shared" si="10"/>
        <v>-1.1099090298306522</v>
      </c>
      <c r="Q109" s="2">
        <f t="shared" si="11"/>
        <v>-1.8130887277982164</v>
      </c>
      <c r="R109" s="2">
        <f t="shared" si="12"/>
        <v>-1.4996550885624607</v>
      </c>
    </row>
    <row r="110" spans="1:18">
      <c r="A110" t="s">
        <v>108</v>
      </c>
      <c r="B110">
        <v>1266700</v>
      </c>
      <c r="C110">
        <v>16068994</v>
      </c>
      <c r="D110">
        <v>73</v>
      </c>
      <c r="E110">
        <v>1</v>
      </c>
      <c r="F110">
        <v>54</v>
      </c>
      <c r="G110">
        <v>6.6</v>
      </c>
      <c r="L110" t="s">
        <v>108</v>
      </c>
      <c r="M110" s="2">
        <f t="shared" si="7"/>
        <v>0.26249080044766376</v>
      </c>
      <c r="N110" s="2">
        <f t="shared" si="8"/>
        <v>-0.16741159118699936</v>
      </c>
      <c r="O110" s="2">
        <f t="shared" si="9"/>
        <v>1.4317163866520992</v>
      </c>
      <c r="P110" s="2">
        <f t="shared" si="10"/>
        <v>-1.1820808751716987</v>
      </c>
      <c r="Q110" s="2">
        <f t="shared" si="11"/>
        <v>-1.511996037004343</v>
      </c>
      <c r="R110" s="2">
        <f t="shared" si="12"/>
        <v>-1.8108365115682383</v>
      </c>
    </row>
    <row r="111" spans="1:18">
      <c r="A111" t="s">
        <v>109</v>
      </c>
      <c r="B111">
        <v>2699700</v>
      </c>
      <c r="C111">
        <v>16558459</v>
      </c>
      <c r="D111">
        <v>29</v>
      </c>
      <c r="E111">
        <v>33</v>
      </c>
      <c r="F111">
        <v>68</v>
      </c>
      <c r="G111">
        <v>9.49</v>
      </c>
      <c r="L111" t="s">
        <v>109</v>
      </c>
      <c r="M111" s="2">
        <f t="shared" si="7"/>
        <v>0.9942304934357572</v>
      </c>
      <c r="N111" s="2">
        <f t="shared" si="8"/>
        <v>-0.16402587533710136</v>
      </c>
      <c r="O111" s="2">
        <f t="shared" si="9"/>
        <v>-7.241515490554562E-2</v>
      </c>
      <c r="P111" s="2">
        <f t="shared" si="10"/>
        <v>-2.733134971495246E-2</v>
      </c>
      <c r="Q111" s="2">
        <f t="shared" si="11"/>
        <v>-0.10689681329960031</v>
      </c>
      <c r="R111" s="2">
        <f t="shared" si="12"/>
        <v>0.43744926964850378</v>
      </c>
    </row>
    <row r="112" spans="1:18">
      <c r="A112" t="s">
        <v>110</v>
      </c>
      <c r="B112">
        <v>33730</v>
      </c>
      <c r="C112">
        <v>16696000</v>
      </c>
      <c r="D112">
        <v>4</v>
      </c>
      <c r="E112">
        <v>91</v>
      </c>
      <c r="F112">
        <v>81</v>
      </c>
      <c r="G112">
        <v>10.68</v>
      </c>
      <c r="L112" t="s">
        <v>110</v>
      </c>
      <c r="M112" s="2">
        <f t="shared" si="7"/>
        <v>-0.36710661006422018</v>
      </c>
      <c r="N112" s="2">
        <f t="shared" si="8"/>
        <v>-0.16307447994884927</v>
      </c>
      <c r="O112" s="2">
        <f t="shared" si="9"/>
        <v>-0.92703534897238926</v>
      </c>
      <c r="P112" s="2">
        <f t="shared" si="10"/>
        <v>2.0656521651754001</v>
      </c>
      <c r="Q112" s="2">
        <f t="shared" si="11"/>
        <v>1.1978381801405178</v>
      </c>
      <c r="R112" s="2">
        <f t="shared" si="12"/>
        <v>1.3632140030906912</v>
      </c>
    </row>
    <row r="113" spans="1:18">
      <c r="A113" t="s">
        <v>111</v>
      </c>
      <c r="B113">
        <v>273600</v>
      </c>
      <c r="C113">
        <v>16967845</v>
      </c>
      <c r="D113">
        <v>93</v>
      </c>
      <c r="E113">
        <v>1</v>
      </c>
      <c r="F113">
        <v>55</v>
      </c>
      <c r="G113">
        <v>7.18</v>
      </c>
      <c r="L113" t="s">
        <v>111</v>
      </c>
      <c r="M113" s="2">
        <f t="shared" si="7"/>
        <v>-0.244620636472417</v>
      </c>
      <c r="N113" s="2">
        <f t="shared" si="8"/>
        <v>-0.16119408007303482</v>
      </c>
      <c r="O113" s="2">
        <f t="shared" si="9"/>
        <v>2.1154125419055743</v>
      </c>
      <c r="P113" s="2">
        <f t="shared" si="10"/>
        <v>-1.1820808751716987</v>
      </c>
      <c r="Q113" s="2">
        <f t="shared" si="11"/>
        <v>-1.4116318067397184</v>
      </c>
      <c r="R113" s="2">
        <f t="shared" si="12"/>
        <v>-1.359623448209861</v>
      </c>
    </row>
    <row r="114" spans="1:18">
      <c r="A114" t="s">
        <v>112</v>
      </c>
      <c r="B114">
        <v>743530</v>
      </c>
      <c r="C114">
        <v>17269525</v>
      </c>
      <c r="D114">
        <v>8</v>
      </c>
      <c r="E114">
        <v>45</v>
      </c>
      <c r="F114">
        <v>79</v>
      </c>
      <c r="G114">
        <v>9.75</v>
      </c>
      <c r="L114" t="s">
        <v>112</v>
      </c>
      <c r="M114" s="2">
        <f t="shared" si="7"/>
        <v>-4.6580168451352084E-3</v>
      </c>
      <c r="N114" s="2">
        <f t="shared" si="8"/>
        <v>-0.15910730623303149</v>
      </c>
      <c r="O114" s="2">
        <f t="shared" si="9"/>
        <v>-0.7902961179216943</v>
      </c>
      <c r="P114" s="2">
        <f t="shared" si="10"/>
        <v>0.40569972233132739</v>
      </c>
      <c r="Q114" s="2">
        <f t="shared" si="11"/>
        <v>0.99710971961126893</v>
      </c>
      <c r="R114" s="2">
        <f t="shared" si="12"/>
        <v>0.63971719460225895</v>
      </c>
    </row>
    <row r="115" spans="1:18">
      <c r="A115" t="s">
        <v>113</v>
      </c>
      <c r="B115">
        <v>1246700</v>
      </c>
      <c r="C115">
        <v>19618432</v>
      </c>
      <c r="D115">
        <v>98</v>
      </c>
      <c r="E115">
        <v>10</v>
      </c>
      <c r="F115">
        <v>51</v>
      </c>
      <c r="G115">
        <v>8.69</v>
      </c>
      <c r="L115" t="s">
        <v>113</v>
      </c>
      <c r="M115" s="2">
        <f t="shared" si="7"/>
        <v>0.25227810410449425</v>
      </c>
      <c r="N115" s="2">
        <f t="shared" si="8"/>
        <v>-0.1428595016712419</v>
      </c>
      <c r="O115" s="2">
        <f t="shared" si="9"/>
        <v>2.2863365807189426</v>
      </c>
      <c r="P115" s="2">
        <f t="shared" si="10"/>
        <v>-0.85730757113698886</v>
      </c>
      <c r="Q115" s="2">
        <f t="shared" si="11"/>
        <v>-1.8130887277982164</v>
      </c>
      <c r="R115" s="2">
        <f t="shared" si="12"/>
        <v>-0.18491357636305156</v>
      </c>
    </row>
    <row r="116" spans="1:18">
      <c r="A116" t="s">
        <v>114</v>
      </c>
      <c r="B116">
        <v>472710</v>
      </c>
      <c r="C116">
        <v>20030362</v>
      </c>
      <c r="D116">
        <v>84</v>
      </c>
      <c r="E116">
        <v>4</v>
      </c>
      <c r="F116">
        <v>51</v>
      </c>
      <c r="G116">
        <v>7.78</v>
      </c>
      <c r="L116" t="s">
        <v>114</v>
      </c>
      <c r="M116" s="2">
        <f t="shared" si="7"/>
        <v>-0.14294813802799319</v>
      </c>
      <c r="N116" s="2">
        <f t="shared" si="8"/>
        <v>-0.14001010910987696</v>
      </c>
      <c r="O116" s="2">
        <f t="shared" si="9"/>
        <v>1.8077492720415103</v>
      </c>
      <c r="P116" s="2">
        <f t="shared" si="10"/>
        <v>-1.0738231071601287</v>
      </c>
      <c r="Q116" s="2">
        <f t="shared" si="11"/>
        <v>-1.8130887277982164</v>
      </c>
      <c r="R116" s="2">
        <f t="shared" si="12"/>
        <v>-0.89285131370119453</v>
      </c>
    </row>
    <row r="117" spans="1:18">
      <c r="A117" t="s">
        <v>115</v>
      </c>
      <c r="B117">
        <v>318000</v>
      </c>
      <c r="C117">
        <v>20152894</v>
      </c>
      <c r="D117">
        <v>86</v>
      </c>
      <c r="E117">
        <v>3</v>
      </c>
      <c r="F117">
        <v>55</v>
      </c>
      <c r="G117">
        <v>7.5</v>
      </c>
      <c r="L117" t="s">
        <v>115</v>
      </c>
      <c r="M117" s="2">
        <f t="shared" si="7"/>
        <v>-0.22194845059058074</v>
      </c>
      <c r="N117" s="2">
        <f t="shared" si="8"/>
        <v>-0.1391625336253792</v>
      </c>
      <c r="O117" s="2">
        <f t="shared" si="9"/>
        <v>1.8761188875668577</v>
      </c>
      <c r="P117" s="2">
        <f t="shared" si="10"/>
        <v>-1.1099090298306522</v>
      </c>
      <c r="Q117" s="2">
        <f t="shared" si="11"/>
        <v>-1.4116318067397184</v>
      </c>
      <c r="R117" s="2">
        <f t="shared" si="12"/>
        <v>-1.1106783098052389</v>
      </c>
    </row>
    <row r="118" spans="1:18">
      <c r="A118" t="s">
        <v>116</v>
      </c>
      <c r="B118">
        <v>183630</v>
      </c>
      <c r="C118">
        <v>20820311</v>
      </c>
      <c r="D118">
        <v>14</v>
      </c>
      <c r="E118">
        <v>21</v>
      </c>
      <c r="F118">
        <v>76</v>
      </c>
      <c r="G118">
        <v>8.57</v>
      </c>
      <c r="L118" t="s">
        <v>116</v>
      </c>
      <c r="M118" s="2">
        <f t="shared" si="7"/>
        <v>-0.29056245097216493</v>
      </c>
      <c r="N118" s="2">
        <f t="shared" si="8"/>
        <v>-0.13454589236320241</v>
      </c>
      <c r="O118" s="2">
        <f t="shared" si="9"/>
        <v>-0.58518727134565185</v>
      </c>
      <c r="P118" s="2">
        <f t="shared" si="10"/>
        <v>-0.46036242176123232</v>
      </c>
      <c r="Q118" s="2">
        <f t="shared" si="11"/>
        <v>0.69601702881739547</v>
      </c>
      <c r="R118" s="2">
        <f t="shared" si="12"/>
        <v>-0.27826800326478418</v>
      </c>
    </row>
    <row r="119" spans="1:18">
      <c r="A119" t="s">
        <v>117</v>
      </c>
      <c r="B119">
        <v>62710</v>
      </c>
      <c r="C119">
        <v>20869000</v>
      </c>
      <c r="D119">
        <v>14</v>
      </c>
      <c r="E119">
        <v>12</v>
      </c>
      <c r="F119">
        <v>75</v>
      </c>
      <c r="G119">
        <v>8.6300000000000008</v>
      </c>
      <c r="L119" t="s">
        <v>117</v>
      </c>
      <c r="M119" s="2">
        <f t="shared" si="7"/>
        <v>-0.35230841306296762</v>
      </c>
      <c r="N119" s="2">
        <f t="shared" si="8"/>
        <v>-0.13420910195118993</v>
      </c>
      <c r="O119" s="2">
        <f t="shared" si="9"/>
        <v>-0.58518727134565185</v>
      </c>
      <c r="P119" s="2">
        <f t="shared" si="10"/>
        <v>-0.78513572579594226</v>
      </c>
      <c r="Q119" s="2">
        <f t="shared" si="11"/>
        <v>0.59565279855277098</v>
      </c>
      <c r="R119" s="2">
        <f t="shared" si="12"/>
        <v>-0.23159078981391717</v>
      </c>
    </row>
    <row r="120" spans="1:18">
      <c r="A120" t="s">
        <v>118</v>
      </c>
      <c r="B120">
        <v>581540</v>
      </c>
      <c r="C120">
        <v>21315135</v>
      </c>
      <c r="D120">
        <v>43</v>
      </c>
      <c r="E120">
        <v>2</v>
      </c>
      <c r="F120">
        <v>66</v>
      </c>
      <c r="G120">
        <v>6.88</v>
      </c>
      <c r="L120" t="s">
        <v>118</v>
      </c>
      <c r="M120" s="2">
        <f t="shared" si="7"/>
        <v>-8.7375750876636446E-2</v>
      </c>
      <c r="N120" s="2">
        <f t="shared" si="8"/>
        <v>-0.13112310736384611</v>
      </c>
      <c r="O120" s="2">
        <f t="shared" si="9"/>
        <v>0.40617215377188681</v>
      </c>
      <c r="P120" s="2">
        <f t="shared" si="10"/>
        <v>-1.1459949525011754</v>
      </c>
      <c r="Q120" s="2">
        <f t="shared" si="11"/>
        <v>-0.30762527382884924</v>
      </c>
      <c r="R120" s="2">
        <f t="shared" si="12"/>
        <v>-1.5930095154641939</v>
      </c>
    </row>
    <row r="121" spans="1:18">
      <c r="A121" t="s">
        <v>119</v>
      </c>
      <c r="B121">
        <v>230060</v>
      </c>
      <c r="C121">
        <v>21390000</v>
      </c>
      <c r="D121">
        <v>11</v>
      </c>
      <c r="E121">
        <v>40</v>
      </c>
      <c r="F121">
        <v>73</v>
      </c>
      <c r="G121">
        <v>9.6300000000000008</v>
      </c>
      <c r="L121" t="s">
        <v>119</v>
      </c>
      <c r="M121" s="2">
        <f t="shared" si="7"/>
        <v>-0.26685367641149693</v>
      </c>
      <c r="N121" s="2">
        <f t="shared" si="8"/>
        <v>-0.1306052529368644</v>
      </c>
      <c r="O121" s="2">
        <f t="shared" si="9"/>
        <v>-0.68774169463367307</v>
      </c>
      <c r="P121" s="2">
        <f t="shared" si="10"/>
        <v>0.2252701089787108</v>
      </c>
      <c r="Q121" s="2">
        <f t="shared" si="11"/>
        <v>0.39492433802352206</v>
      </c>
      <c r="R121" s="2">
        <f t="shared" si="12"/>
        <v>0.54636276770052628</v>
      </c>
    </row>
    <row r="122" spans="1:18">
      <c r="A122" t="s">
        <v>120</v>
      </c>
      <c r="B122">
        <v>7682300</v>
      </c>
      <c r="C122">
        <v>22620600</v>
      </c>
      <c r="D122">
        <v>4</v>
      </c>
      <c r="E122">
        <v>76</v>
      </c>
      <c r="F122">
        <v>82</v>
      </c>
      <c r="G122">
        <v>10.58</v>
      </c>
      <c r="L122" t="s">
        <v>120</v>
      </c>
      <c r="M122" s="2">
        <f t="shared" si="7"/>
        <v>3.5385195334095707</v>
      </c>
      <c r="N122" s="2">
        <f t="shared" si="8"/>
        <v>-0.12209297539938066</v>
      </c>
      <c r="O122" s="2">
        <f t="shared" si="9"/>
        <v>-0.92703534897238926</v>
      </c>
      <c r="P122" s="2">
        <f t="shared" si="10"/>
        <v>1.5243633251175503</v>
      </c>
      <c r="Q122" s="2">
        <f t="shared" si="11"/>
        <v>1.2982024104051424</v>
      </c>
      <c r="R122" s="2">
        <f t="shared" si="12"/>
        <v>1.285418647339247</v>
      </c>
    </row>
    <row r="123" spans="1:18">
      <c r="A123" t="s">
        <v>121</v>
      </c>
      <c r="B123">
        <v>786380</v>
      </c>
      <c r="C123">
        <v>23929708</v>
      </c>
      <c r="D123">
        <v>92</v>
      </c>
      <c r="E123">
        <v>4</v>
      </c>
      <c r="F123">
        <v>50</v>
      </c>
      <c r="G123">
        <v>6.89</v>
      </c>
      <c r="L123" t="s">
        <v>121</v>
      </c>
      <c r="M123" s="2">
        <f t="shared" si="7"/>
        <v>1.7222685070105413E-2</v>
      </c>
      <c r="N123" s="2">
        <f t="shared" si="8"/>
        <v>-0.11303764416052138</v>
      </c>
      <c r="O123" s="2">
        <f t="shared" si="9"/>
        <v>2.0812277341429004</v>
      </c>
      <c r="P123" s="2">
        <f t="shared" si="10"/>
        <v>-1.0738231071601287</v>
      </c>
      <c r="Q123" s="2">
        <f t="shared" si="11"/>
        <v>-1.9134529580628408</v>
      </c>
      <c r="R123" s="2">
        <f t="shared" si="12"/>
        <v>-1.5852299798890497</v>
      </c>
    </row>
    <row r="124" spans="1:18">
      <c r="A124" t="s">
        <v>122</v>
      </c>
      <c r="B124">
        <v>527970</v>
      </c>
      <c r="C124">
        <v>24799880</v>
      </c>
      <c r="D124">
        <v>57</v>
      </c>
      <c r="E124">
        <v>12</v>
      </c>
      <c r="F124">
        <v>65</v>
      </c>
      <c r="G124">
        <v>7.76</v>
      </c>
      <c r="L124" t="s">
        <v>122</v>
      </c>
      <c r="M124" s="2">
        <f t="shared" si="7"/>
        <v>-0.1147304580318159</v>
      </c>
      <c r="N124" s="2">
        <f t="shared" si="8"/>
        <v>-0.10701851075458339</v>
      </c>
      <c r="O124" s="2">
        <f t="shared" si="9"/>
        <v>0.88475946244931925</v>
      </c>
      <c r="P124" s="2">
        <f t="shared" si="10"/>
        <v>-0.78513572579594226</v>
      </c>
      <c r="Q124" s="2">
        <f t="shared" si="11"/>
        <v>-0.40798950409347373</v>
      </c>
      <c r="R124" s="2">
        <f t="shared" si="12"/>
        <v>-0.90841038485148373</v>
      </c>
    </row>
    <row r="125" spans="1:18">
      <c r="A125" t="s">
        <v>123</v>
      </c>
      <c r="B125">
        <v>227540</v>
      </c>
      <c r="C125">
        <v>24965816</v>
      </c>
      <c r="D125">
        <v>50</v>
      </c>
      <c r="E125">
        <v>10</v>
      </c>
      <c r="F125">
        <v>64</v>
      </c>
      <c r="G125">
        <v>7.54</v>
      </c>
      <c r="L125" t="s">
        <v>123</v>
      </c>
      <c r="M125" s="2">
        <f t="shared" si="7"/>
        <v>-0.26814047615073633</v>
      </c>
      <c r="N125" s="2">
        <f t="shared" si="8"/>
        <v>-0.10587070213646223</v>
      </c>
      <c r="O125" s="2">
        <f t="shared" si="9"/>
        <v>0.64546580811060306</v>
      </c>
      <c r="P125" s="2">
        <f t="shared" si="10"/>
        <v>-0.85730757113698886</v>
      </c>
      <c r="Q125" s="2">
        <f t="shared" si="11"/>
        <v>-0.50835373435809816</v>
      </c>
      <c r="R125" s="2">
        <f t="shared" si="12"/>
        <v>-1.0795601675046611</v>
      </c>
    </row>
    <row r="126" spans="1:18">
      <c r="A126" t="s">
        <v>124</v>
      </c>
      <c r="B126">
        <v>2149690</v>
      </c>
      <c r="C126">
        <v>28082541</v>
      </c>
      <c r="D126">
        <v>15</v>
      </c>
      <c r="E126">
        <v>41</v>
      </c>
      <c r="F126">
        <v>74</v>
      </c>
      <c r="G126">
        <v>10.1</v>
      </c>
      <c r="L126" t="s">
        <v>124</v>
      </c>
      <c r="M126" s="2">
        <f t="shared" si="7"/>
        <v>0.71337623765042479</v>
      </c>
      <c r="N126" s="2">
        <f t="shared" si="8"/>
        <v>-8.4311764863575875E-2</v>
      </c>
      <c r="O126" s="2">
        <f t="shared" si="9"/>
        <v>-0.55100246358297811</v>
      </c>
      <c r="P126" s="2">
        <f t="shared" si="10"/>
        <v>0.2613560316492341</v>
      </c>
      <c r="Q126" s="2">
        <f t="shared" si="11"/>
        <v>0.49528856828814655</v>
      </c>
      <c r="R126" s="2">
        <f t="shared" si="12"/>
        <v>0.91200093973231389</v>
      </c>
    </row>
    <row r="127" spans="1:18">
      <c r="A127" t="s">
        <v>125</v>
      </c>
      <c r="B127">
        <v>328550</v>
      </c>
      <c r="C127">
        <v>28859154</v>
      </c>
      <c r="D127">
        <v>5</v>
      </c>
      <c r="E127">
        <v>56</v>
      </c>
      <c r="F127">
        <v>74</v>
      </c>
      <c r="G127">
        <v>9.65</v>
      </c>
      <c r="L127" t="s">
        <v>125</v>
      </c>
      <c r="M127" s="2">
        <f t="shared" si="7"/>
        <v>-0.21656125326955883</v>
      </c>
      <c r="N127" s="2">
        <f t="shared" si="8"/>
        <v>-7.8939795584185457E-2</v>
      </c>
      <c r="O127" s="2">
        <f t="shared" si="9"/>
        <v>-0.89285054120971552</v>
      </c>
      <c r="P127" s="2">
        <f t="shared" si="10"/>
        <v>0.80264487170708398</v>
      </c>
      <c r="Q127" s="2">
        <f t="shared" si="11"/>
        <v>0.49528856828814655</v>
      </c>
      <c r="R127" s="2">
        <f t="shared" si="12"/>
        <v>0.56192183885081481</v>
      </c>
    </row>
    <row r="128" spans="1:18">
      <c r="A128" t="s">
        <v>126</v>
      </c>
      <c r="B128">
        <v>882050</v>
      </c>
      <c r="C128">
        <v>29278000</v>
      </c>
      <c r="D128">
        <v>16</v>
      </c>
      <c r="E128">
        <v>36</v>
      </c>
      <c r="F128">
        <v>74</v>
      </c>
      <c r="G128">
        <v>9.4600000000000009</v>
      </c>
      <c r="L128" t="s">
        <v>126</v>
      </c>
      <c r="M128" s="2">
        <f t="shared" si="7"/>
        <v>6.6075118027656643E-2</v>
      </c>
      <c r="N128" s="2">
        <f t="shared" si="8"/>
        <v>-7.6042563829378934E-2</v>
      </c>
      <c r="O128" s="2">
        <f t="shared" si="9"/>
        <v>-0.51681765582030437</v>
      </c>
      <c r="P128" s="2">
        <f t="shared" si="10"/>
        <v>8.0926418296617508E-2</v>
      </c>
      <c r="Q128" s="2">
        <f t="shared" si="11"/>
        <v>0.49528856828814655</v>
      </c>
      <c r="R128" s="2">
        <f t="shared" si="12"/>
        <v>0.41411066292307097</v>
      </c>
    </row>
    <row r="129" spans="1:18">
      <c r="A129" t="s">
        <v>127</v>
      </c>
      <c r="B129">
        <v>425400</v>
      </c>
      <c r="C129">
        <v>29341200</v>
      </c>
      <c r="D129">
        <v>44</v>
      </c>
      <c r="E129">
        <v>19</v>
      </c>
      <c r="F129">
        <v>68</v>
      </c>
      <c r="G129">
        <v>8.1</v>
      </c>
      <c r="L129" t="s">
        <v>127</v>
      </c>
      <c r="M129" s="2">
        <f t="shared" si="7"/>
        <v>-0.16710627122776062</v>
      </c>
      <c r="N129" s="2">
        <f t="shared" si="8"/>
        <v>-7.5605398267564392E-2</v>
      </c>
      <c r="O129" s="2">
        <f t="shared" si="9"/>
        <v>0.44035696153456061</v>
      </c>
      <c r="P129" s="2">
        <f t="shared" si="10"/>
        <v>-0.53253426710227902</v>
      </c>
      <c r="Q129" s="2">
        <f t="shared" si="11"/>
        <v>-0.10689681329960031</v>
      </c>
      <c r="R129" s="2">
        <f t="shared" si="12"/>
        <v>-0.64390617529657312</v>
      </c>
    </row>
    <row r="130" spans="1:18">
      <c r="A130" t="s">
        <v>128</v>
      </c>
      <c r="B130">
        <v>1280000</v>
      </c>
      <c r="C130">
        <v>29399817</v>
      </c>
      <c r="D130">
        <v>15</v>
      </c>
      <c r="E130">
        <v>34</v>
      </c>
      <c r="F130">
        <v>74</v>
      </c>
      <c r="G130">
        <v>9.24</v>
      </c>
      <c r="L130" t="s">
        <v>128</v>
      </c>
      <c r="M130" s="2">
        <f t="shared" si="7"/>
        <v>0.26928224351587143</v>
      </c>
      <c r="N130" s="2">
        <f t="shared" si="8"/>
        <v>-7.5199934126158025E-2</v>
      </c>
      <c r="O130" s="2">
        <f t="shared" si="9"/>
        <v>-0.55100246358297811</v>
      </c>
      <c r="P130" s="2">
        <f t="shared" si="10"/>
        <v>8.7545729555708642E-3</v>
      </c>
      <c r="Q130" s="2">
        <f t="shared" si="11"/>
        <v>0.49528856828814655</v>
      </c>
      <c r="R130" s="2">
        <f t="shared" si="12"/>
        <v>0.2429608802698929</v>
      </c>
    </row>
    <row r="131" spans="1:18">
      <c r="A131" t="s">
        <v>129</v>
      </c>
      <c r="B131">
        <v>143350</v>
      </c>
      <c r="C131">
        <v>30485798</v>
      </c>
      <c r="D131">
        <v>41</v>
      </c>
      <c r="E131">
        <v>8</v>
      </c>
      <c r="F131">
        <v>68</v>
      </c>
      <c r="G131">
        <v>7.14</v>
      </c>
      <c r="L131" t="s">
        <v>129</v>
      </c>
      <c r="M131" s="2">
        <f t="shared" ref="M131:M170" si="13">STANDARDIZE(B131,AVERAGE(B$2:B$170),_xlfn.STDEV.S(B$2:B$170))</f>
        <v>-0.31113082140730824</v>
      </c>
      <c r="N131" s="2">
        <f t="shared" ref="N131:N170" si="14">STANDARDIZE(C131,AVERAGE(C$2:C$170),_xlfn.STDEV.S(C$2:C$170))</f>
        <v>-6.7688011752979005E-2</v>
      </c>
      <c r="O131" s="2">
        <f t="shared" ref="O131:O170" si="15">STANDARDIZE(D131,AVERAGE(D$2:D$170),_xlfn.STDEV.S(D$2:D$170))</f>
        <v>0.33780253824653933</v>
      </c>
      <c r="P131" s="2">
        <f t="shared" ref="P131:P170" si="16">STANDARDIZE(E131,AVERAGE(E$2:E$170),_xlfn.STDEV.S(E$2:E$170))</f>
        <v>-0.92947941647803556</v>
      </c>
      <c r="Q131" s="2">
        <f t="shared" ref="Q131:Q170" si="17">STANDARDIZE(F131,AVERAGE(F$2:F$170),_xlfn.STDEV.S(F$2:F$170))</f>
        <v>-0.10689681329960031</v>
      </c>
      <c r="R131" s="2">
        <f t="shared" ref="R131:R170" si="18">STANDARDIZE(G131,AVERAGE(G$2:G$170),_xlfn.STDEV.S(G$2:G$170))</f>
        <v>-1.3907415905104388</v>
      </c>
    </row>
    <row r="132" spans="1:18">
      <c r="A132" t="s">
        <v>130</v>
      </c>
      <c r="B132">
        <v>446300</v>
      </c>
      <c r="C132">
        <v>32272974</v>
      </c>
      <c r="D132">
        <v>30</v>
      </c>
      <c r="E132">
        <v>49</v>
      </c>
      <c r="F132">
        <v>72</v>
      </c>
      <c r="G132">
        <v>8.51</v>
      </c>
      <c r="L132" t="s">
        <v>130</v>
      </c>
      <c r="M132" s="2">
        <f t="shared" si="13"/>
        <v>-0.15643400354914849</v>
      </c>
      <c r="N132" s="2">
        <f t="shared" si="14"/>
        <v>-5.5325799726057168E-2</v>
      </c>
      <c r="O132" s="2">
        <f t="shared" si="15"/>
        <v>-3.8230347142871872E-2</v>
      </c>
      <c r="P132" s="2">
        <f t="shared" si="16"/>
        <v>0.55004341301342075</v>
      </c>
      <c r="Q132" s="2">
        <f t="shared" si="17"/>
        <v>0.29456010775889757</v>
      </c>
      <c r="R132" s="2">
        <f t="shared" si="18"/>
        <v>-0.32494521671565119</v>
      </c>
    </row>
    <row r="133" spans="1:18">
      <c r="A133" t="s">
        <v>131</v>
      </c>
      <c r="B133">
        <v>434320</v>
      </c>
      <c r="C133">
        <v>32961959</v>
      </c>
      <c r="D133">
        <v>31</v>
      </c>
      <c r="E133">
        <v>2</v>
      </c>
      <c r="F133">
        <v>68</v>
      </c>
      <c r="G133">
        <v>8.27</v>
      </c>
      <c r="L133" t="s">
        <v>131</v>
      </c>
      <c r="M133" s="2">
        <f t="shared" si="13"/>
        <v>-0.16255140865870701</v>
      </c>
      <c r="N133" s="2">
        <f t="shared" si="14"/>
        <v>-5.0559968798734541E-2</v>
      </c>
      <c r="O133" s="2">
        <f t="shared" si="15"/>
        <v>-4.0455393801981272E-3</v>
      </c>
      <c r="P133" s="2">
        <f t="shared" si="16"/>
        <v>-1.1459949525011754</v>
      </c>
      <c r="Q133" s="2">
        <f t="shared" si="17"/>
        <v>-0.10689681329960031</v>
      </c>
      <c r="R133" s="2">
        <f t="shared" si="18"/>
        <v>-0.51165407051911782</v>
      </c>
    </row>
    <row r="134" spans="1:18">
      <c r="A134" t="s">
        <v>132</v>
      </c>
      <c r="B134">
        <v>2376000</v>
      </c>
      <c r="C134">
        <v>34318385</v>
      </c>
      <c r="D134">
        <v>66</v>
      </c>
      <c r="E134">
        <v>10</v>
      </c>
      <c r="F134">
        <v>61</v>
      </c>
      <c r="G134">
        <v>7.67</v>
      </c>
      <c r="L134" t="s">
        <v>132</v>
      </c>
      <c r="M134" s="2">
        <f t="shared" si="13"/>
        <v>0.82893800312155907</v>
      </c>
      <c r="N134" s="2">
        <f t="shared" si="14"/>
        <v>-4.117733059699645E-2</v>
      </c>
      <c r="O134" s="2">
        <f t="shared" si="15"/>
        <v>1.1924227323133829</v>
      </c>
      <c r="P134" s="2">
        <f t="shared" si="16"/>
        <v>-0.85730757113698886</v>
      </c>
      <c r="Q134" s="2">
        <f t="shared" si="17"/>
        <v>-0.80944642515197163</v>
      </c>
      <c r="R134" s="2">
        <f t="shared" si="18"/>
        <v>-0.97842620502778355</v>
      </c>
    </row>
    <row r="135" spans="1:18">
      <c r="A135" t="s">
        <v>133</v>
      </c>
      <c r="B135">
        <v>9093510</v>
      </c>
      <c r="C135">
        <v>34482779</v>
      </c>
      <c r="D135">
        <v>5</v>
      </c>
      <c r="E135">
        <v>81</v>
      </c>
      <c r="F135">
        <v>81</v>
      </c>
      <c r="G135">
        <v>10.61</v>
      </c>
      <c r="L135" t="s">
        <v>133</v>
      </c>
      <c r="M135" s="2">
        <f t="shared" si="13"/>
        <v>4.2591324937317809</v>
      </c>
      <c r="N135" s="2">
        <f t="shared" si="14"/>
        <v>-4.0040188265209435E-2</v>
      </c>
      <c r="O135" s="2">
        <f t="shared" si="15"/>
        <v>-0.89285054120971552</v>
      </c>
      <c r="P135" s="2">
        <f t="shared" si="16"/>
        <v>1.704792938470167</v>
      </c>
      <c r="Q135" s="2">
        <f t="shared" si="17"/>
        <v>1.1978381801405178</v>
      </c>
      <c r="R135" s="2">
        <f t="shared" si="18"/>
        <v>1.3087572540646799</v>
      </c>
    </row>
    <row r="136" spans="1:18">
      <c r="A136" t="s">
        <v>134</v>
      </c>
      <c r="B136">
        <v>199810</v>
      </c>
      <c r="C136">
        <v>34509205</v>
      </c>
      <c r="D136">
        <v>63</v>
      </c>
      <c r="E136">
        <v>13</v>
      </c>
      <c r="F136">
        <v>54</v>
      </c>
      <c r="G136">
        <v>7.21</v>
      </c>
      <c r="L136" t="s">
        <v>134</v>
      </c>
      <c r="M136" s="2">
        <f t="shared" si="13"/>
        <v>-0.28230037963054078</v>
      </c>
      <c r="N136" s="2">
        <f t="shared" si="14"/>
        <v>-3.9857394956087429E-2</v>
      </c>
      <c r="O136" s="2">
        <f t="shared" si="15"/>
        <v>1.0898683090253618</v>
      </c>
      <c r="P136" s="2">
        <f t="shared" si="16"/>
        <v>-0.74904980312541891</v>
      </c>
      <c r="Q136" s="2">
        <f t="shared" si="17"/>
        <v>-1.511996037004343</v>
      </c>
      <c r="R136" s="2">
        <f t="shared" si="18"/>
        <v>-1.3362848414844275</v>
      </c>
    </row>
    <row r="137" spans="1:18">
      <c r="A137" t="s">
        <v>135</v>
      </c>
      <c r="B137">
        <v>652230</v>
      </c>
      <c r="C137">
        <v>35320445</v>
      </c>
      <c r="D137">
        <v>103</v>
      </c>
      <c r="E137">
        <v>4</v>
      </c>
      <c r="F137">
        <v>48</v>
      </c>
      <c r="G137">
        <v>6.95</v>
      </c>
      <c r="L137" t="s">
        <v>135</v>
      </c>
      <c r="M137" s="2">
        <f t="shared" si="13"/>
        <v>-5.1278975651703904E-2</v>
      </c>
      <c r="N137" s="2">
        <f t="shared" si="14"/>
        <v>-3.4245904602188279E-2</v>
      </c>
      <c r="O137" s="2">
        <f t="shared" si="15"/>
        <v>2.4572606195323115</v>
      </c>
      <c r="P137" s="2">
        <f t="shared" si="16"/>
        <v>-1.0738231071601287</v>
      </c>
      <c r="Q137" s="2">
        <f t="shared" si="17"/>
        <v>-2.1141814185920897</v>
      </c>
      <c r="R137" s="2">
        <f t="shared" si="18"/>
        <v>-1.5385527664381826</v>
      </c>
    </row>
    <row r="138" spans="1:18">
      <c r="A138" t="s">
        <v>136</v>
      </c>
      <c r="B138">
        <v>2381740</v>
      </c>
      <c r="C138">
        <v>35980193</v>
      </c>
      <c r="D138">
        <v>31</v>
      </c>
      <c r="E138">
        <v>13</v>
      </c>
      <c r="F138">
        <v>73</v>
      </c>
      <c r="G138">
        <v>9.07</v>
      </c>
      <c r="L138" t="s">
        <v>136</v>
      </c>
      <c r="M138" s="2">
        <f t="shared" si="13"/>
        <v>0.83186904697204878</v>
      </c>
      <c r="N138" s="2">
        <f t="shared" si="14"/>
        <v>-2.9682311167441154E-2</v>
      </c>
      <c r="O138" s="2">
        <f t="shared" si="15"/>
        <v>-4.0455393801981272E-3</v>
      </c>
      <c r="P138" s="2">
        <f t="shared" si="16"/>
        <v>-0.74904980312541891</v>
      </c>
      <c r="Q138" s="2">
        <f t="shared" si="17"/>
        <v>0.39492433802352206</v>
      </c>
      <c r="R138" s="2">
        <f t="shared" si="18"/>
        <v>0.11070877549243757</v>
      </c>
    </row>
    <row r="139" spans="1:18">
      <c r="A139" t="s">
        <v>137</v>
      </c>
      <c r="B139">
        <v>304200</v>
      </c>
      <c r="C139">
        <v>38216000</v>
      </c>
      <c r="D139">
        <v>5</v>
      </c>
      <c r="E139">
        <v>62</v>
      </c>
      <c r="F139">
        <v>76</v>
      </c>
      <c r="G139">
        <v>9.9700000000000006</v>
      </c>
      <c r="L139" t="s">
        <v>137</v>
      </c>
      <c r="M139" s="2">
        <f t="shared" si="13"/>
        <v>-0.22899521106736767</v>
      </c>
      <c r="N139" s="2">
        <f t="shared" si="14"/>
        <v>-1.4216839280354476E-2</v>
      </c>
      <c r="O139" s="2">
        <f t="shared" si="15"/>
        <v>-0.89285054120971552</v>
      </c>
      <c r="P139" s="2">
        <f t="shared" si="16"/>
        <v>1.0191604077302239</v>
      </c>
      <c r="Q139" s="2">
        <f t="shared" si="17"/>
        <v>0.69601702881739547</v>
      </c>
      <c r="R139" s="2">
        <f t="shared" si="18"/>
        <v>0.81086697725543699</v>
      </c>
    </row>
    <row r="140" spans="1:18">
      <c r="A140" t="s">
        <v>138</v>
      </c>
      <c r="B140">
        <v>2736690</v>
      </c>
      <c r="C140">
        <v>40764561</v>
      </c>
      <c r="D140">
        <v>12</v>
      </c>
      <c r="E140">
        <v>36</v>
      </c>
      <c r="F140">
        <v>76</v>
      </c>
      <c r="G140">
        <v>9.7799999999999994</v>
      </c>
      <c r="L140" t="s">
        <v>138</v>
      </c>
      <c r="M140" s="2">
        <f t="shared" si="13"/>
        <v>1.0131188753224492</v>
      </c>
      <c r="N140" s="2">
        <f t="shared" si="14"/>
        <v>3.4120072605256231E-3</v>
      </c>
      <c r="O140" s="2">
        <f t="shared" si="15"/>
        <v>-0.65355688687099933</v>
      </c>
      <c r="P140" s="2">
        <f t="shared" si="16"/>
        <v>8.0926418296617508E-2</v>
      </c>
      <c r="Q140" s="2">
        <f t="shared" si="17"/>
        <v>0.69601702881739547</v>
      </c>
      <c r="R140" s="2">
        <f t="shared" si="18"/>
        <v>0.66305580132769171</v>
      </c>
    </row>
    <row r="141" spans="1:18">
      <c r="A141" t="s">
        <v>139</v>
      </c>
      <c r="B141">
        <v>569140</v>
      </c>
      <c r="C141">
        <v>41609728</v>
      </c>
      <c r="D141">
        <v>55</v>
      </c>
      <c r="E141">
        <v>26</v>
      </c>
      <c r="F141">
        <v>57</v>
      </c>
      <c r="G141">
        <v>7.45</v>
      </c>
      <c r="L141" t="s">
        <v>139</v>
      </c>
      <c r="M141" s="2">
        <f t="shared" si="13"/>
        <v>-9.370762260940152E-2</v>
      </c>
      <c r="N141" s="2">
        <f t="shared" si="14"/>
        <v>9.2581766653058156E-3</v>
      </c>
      <c r="O141" s="2">
        <f t="shared" si="15"/>
        <v>0.81638984692397176</v>
      </c>
      <c r="P141" s="2">
        <f t="shared" si="16"/>
        <v>-0.27993280840861573</v>
      </c>
      <c r="Q141" s="2">
        <f t="shared" si="17"/>
        <v>-1.2109033462104695</v>
      </c>
      <c r="R141" s="2">
        <f t="shared" si="18"/>
        <v>-1.149575987680961</v>
      </c>
    </row>
    <row r="142" spans="1:18">
      <c r="A142" t="s">
        <v>140</v>
      </c>
      <c r="B142">
        <v>579320</v>
      </c>
      <c r="C142">
        <v>45706100</v>
      </c>
      <c r="D142">
        <v>11</v>
      </c>
      <c r="E142">
        <v>45</v>
      </c>
      <c r="F142">
        <v>70</v>
      </c>
      <c r="G142">
        <v>8.89</v>
      </c>
      <c r="L142" t="s">
        <v>140</v>
      </c>
      <c r="M142" s="2">
        <f t="shared" si="13"/>
        <v>-8.850936017072826E-2</v>
      </c>
      <c r="N142" s="2">
        <f t="shared" si="14"/>
        <v>3.7593505253618237E-2</v>
      </c>
      <c r="O142" s="2">
        <f t="shared" si="15"/>
        <v>-0.68774169463367307</v>
      </c>
      <c r="P142" s="2">
        <f t="shared" si="16"/>
        <v>0.40569972233132739</v>
      </c>
      <c r="Q142" s="2">
        <f t="shared" si="17"/>
        <v>9.3831647229648638E-2</v>
      </c>
      <c r="R142" s="2">
        <f t="shared" si="18"/>
        <v>-2.9322864860162039E-2</v>
      </c>
    </row>
    <row r="143" spans="1:18">
      <c r="A143" t="s">
        <v>141</v>
      </c>
      <c r="B143">
        <v>885800</v>
      </c>
      <c r="C143">
        <v>46218486</v>
      </c>
      <c r="D143">
        <v>60</v>
      </c>
      <c r="E143">
        <v>11</v>
      </c>
      <c r="F143">
        <v>57</v>
      </c>
      <c r="G143">
        <v>7.33</v>
      </c>
      <c r="L143" t="s">
        <v>141</v>
      </c>
      <c r="M143" s="2">
        <f t="shared" si="13"/>
        <v>6.7989998592000916E-2</v>
      </c>
      <c r="N143" s="2">
        <f t="shared" si="14"/>
        <v>4.1137769708616719E-2</v>
      </c>
      <c r="O143" s="2">
        <f t="shared" si="15"/>
        <v>0.98731388573734058</v>
      </c>
      <c r="P143" s="2">
        <f t="shared" si="16"/>
        <v>-0.82122164846646561</v>
      </c>
      <c r="Q143" s="2">
        <f t="shared" si="17"/>
        <v>-1.2109033462104695</v>
      </c>
      <c r="R143" s="2">
        <f t="shared" si="18"/>
        <v>-1.2429304145826943</v>
      </c>
    </row>
    <row r="144" spans="1:18">
      <c r="A144" t="s">
        <v>142</v>
      </c>
      <c r="B144">
        <v>498800</v>
      </c>
      <c r="C144">
        <v>46235000</v>
      </c>
      <c r="D144">
        <v>4</v>
      </c>
      <c r="E144">
        <v>66</v>
      </c>
      <c r="F144">
        <v>82</v>
      </c>
      <c r="G144">
        <v>10.4</v>
      </c>
      <c r="L144" t="s">
        <v>142</v>
      </c>
      <c r="M144" s="2">
        <f t="shared" si="13"/>
        <v>-0.12962567564832861</v>
      </c>
      <c r="N144" s="2">
        <f t="shared" si="14"/>
        <v>4.1251999963170603E-2</v>
      </c>
      <c r="O144" s="2">
        <f t="shared" si="15"/>
        <v>-0.92703534897238926</v>
      </c>
      <c r="P144" s="2">
        <f t="shared" si="16"/>
        <v>1.1635040984123173</v>
      </c>
      <c r="Q144" s="2">
        <f t="shared" si="17"/>
        <v>1.2982024104051424</v>
      </c>
      <c r="R144" s="2">
        <f t="shared" si="18"/>
        <v>1.1453870069866474</v>
      </c>
    </row>
    <row r="145" spans="1:18">
      <c r="A145" t="s">
        <v>143</v>
      </c>
      <c r="B145">
        <v>1109500</v>
      </c>
      <c r="C145">
        <v>46927125</v>
      </c>
      <c r="D145">
        <v>18</v>
      </c>
      <c r="E145">
        <v>37</v>
      </c>
      <c r="F145">
        <v>73</v>
      </c>
      <c r="G145">
        <v>9.2200000000000006</v>
      </c>
      <c r="L145" t="s">
        <v>143</v>
      </c>
      <c r="M145" s="2">
        <f t="shared" si="13"/>
        <v>0.18221900719035158</v>
      </c>
      <c r="N145" s="2">
        <f t="shared" si="14"/>
        <v>4.6039550825051734E-2</v>
      </c>
      <c r="O145" s="2">
        <f t="shared" si="15"/>
        <v>-0.44844804029495683</v>
      </c>
      <c r="P145" s="2">
        <f t="shared" si="16"/>
        <v>0.11701234096714083</v>
      </c>
      <c r="Q145" s="2">
        <f t="shared" si="17"/>
        <v>0.39492433802352206</v>
      </c>
      <c r="R145" s="2">
        <f t="shared" si="18"/>
        <v>0.22740180911960436</v>
      </c>
    </row>
    <row r="146" spans="1:18">
      <c r="A146" t="s">
        <v>144</v>
      </c>
      <c r="B146">
        <v>97100</v>
      </c>
      <c r="C146">
        <v>49779000</v>
      </c>
      <c r="D146">
        <v>4</v>
      </c>
      <c r="E146">
        <v>82</v>
      </c>
      <c r="F146">
        <v>81</v>
      </c>
      <c r="G146">
        <v>10.32</v>
      </c>
      <c r="L146" t="s">
        <v>144</v>
      </c>
      <c r="M146" s="2">
        <f t="shared" si="13"/>
        <v>-0.3347476817008877</v>
      </c>
      <c r="N146" s="2">
        <f t="shared" si="14"/>
        <v>6.5766473872517509E-2</v>
      </c>
      <c r="O146" s="2">
        <f t="shared" si="15"/>
        <v>-0.92703534897238926</v>
      </c>
      <c r="P146" s="2">
        <f t="shared" si="16"/>
        <v>1.7408788611406905</v>
      </c>
      <c r="Q146" s="2">
        <f t="shared" si="17"/>
        <v>1.1978381801405178</v>
      </c>
      <c r="R146" s="2">
        <f t="shared" si="18"/>
        <v>1.0831507223854919</v>
      </c>
    </row>
    <row r="147" spans="1:18">
      <c r="A147" t="s">
        <v>145</v>
      </c>
      <c r="B147">
        <v>1214470</v>
      </c>
      <c r="C147">
        <v>50586757</v>
      </c>
      <c r="D147">
        <v>41</v>
      </c>
      <c r="E147">
        <v>12</v>
      </c>
      <c r="F147">
        <v>52</v>
      </c>
      <c r="G147">
        <v>9.31</v>
      </c>
      <c r="L147" t="s">
        <v>145</v>
      </c>
      <c r="M147" s="2">
        <f t="shared" si="13"/>
        <v>0.23582034394747664</v>
      </c>
      <c r="N147" s="2">
        <f t="shared" si="14"/>
        <v>7.1353871700280583E-2</v>
      </c>
      <c r="O147" s="2">
        <f t="shared" si="15"/>
        <v>0.33780253824653933</v>
      </c>
      <c r="P147" s="2">
        <f t="shared" si="16"/>
        <v>-0.78513572579594226</v>
      </c>
      <c r="Q147" s="2">
        <f t="shared" si="17"/>
        <v>-1.7127244975335918</v>
      </c>
      <c r="R147" s="2">
        <f t="shared" si="18"/>
        <v>0.29741762929590415</v>
      </c>
    </row>
    <row r="148" spans="1:18">
      <c r="A148" t="s">
        <v>146</v>
      </c>
      <c r="B148">
        <v>294140</v>
      </c>
      <c r="C148">
        <v>60770000</v>
      </c>
      <c r="D148">
        <v>3</v>
      </c>
      <c r="E148">
        <v>54</v>
      </c>
      <c r="F148">
        <v>82</v>
      </c>
      <c r="G148">
        <v>10.39</v>
      </c>
      <c r="L148" t="s">
        <v>146</v>
      </c>
      <c r="M148" s="2">
        <f t="shared" si="13"/>
        <v>-0.23413219732798193</v>
      </c>
      <c r="N148" s="2">
        <f t="shared" si="14"/>
        <v>0.14179316200390349</v>
      </c>
      <c r="O148" s="2">
        <f t="shared" si="15"/>
        <v>-0.961220156735063</v>
      </c>
      <c r="P148" s="2">
        <f t="shared" si="16"/>
        <v>0.73047302636603728</v>
      </c>
      <c r="Q148" s="2">
        <f t="shared" si="17"/>
        <v>1.2982024104051424</v>
      </c>
      <c r="R148" s="2">
        <f t="shared" si="18"/>
        <v>1.1376074714115032</v>
      </c>
    </row>
    <row r="149" spans="1:18">
      <c r="A149" t="s">
        <v>147</v>
      </c>
      <c r="B149">
        <v>241930</v>
      </c>
      <c r="C149">
        <v>62641000</v>
      </c>
      <c r="D149">
        <v>5</v>
      </c>
      <c r="E149">
        <v>85</v>
      </c>
      <c r="F149">
        <v>80</v>
      </c>
      <c r="G149">
        <v>10.51</v>
      </c>
      <c r="L149" t="s">
        <v>147</v>
      </c>
      <c r="M149" s="2">
        <f t="shared" si="13"/>
        <v>-0.26079244113182587</v>
      </c>
      <c r="N149" s="2">
        <f t="shared" si="14"/>
        <v>0.15473519944306491</v>
      </c>
      <c r="O149" s="2">
        <f t="shared" si="15"/>
        <v>-0.89285054120971552</v>
      </c>
      <c r="P149" s="2">
        <f t="shared" si="16"/>
        <v>1.8491366291522604</v>
      </c>
      <c r="Q149" s="2">
        <f t="shared" si="17"/>
        <v>1.0974739498758934</v>
      </c>
      <c r="R149" s="2">
        <f t="shared" si="18"/>
        <v>1.2309618983132358</v>
      </c>
    </row>
    <row r="150" spans="1:18">
      <c r="A150" t="s">
        <v>148</v>
      </c>
      <c r="B150">
        <v>547660</v>
      </c>
      <c r="C150">
        <v>65436552</v>
      </c>
      <c r="D150">
        <v>3</v>
      </c>
      <c r="E150">
        <v>77</v>
      </c>
      <c r="F150">
        <v>81</v>
      </c>
      <c r="G150">
        <v>10.47</v>
      </c>
      <c r="L150" t="s">
        <v>148</v>
      </c>
      <c r="M150" s="2">
        <f t="shared" si="13"/>
        <v>-0.10467605848196555</v>
      </c>
      <c r="N150" s="2">
        <f t="shared" si="14"/>
        <v>0.17407252635226991</v>
      </c>
      <c r="O150" s="2">
        <f t="shared" si="15"/>
        <v>-0.961220156735063</v>
      </c>
      <c r="P150" s="2">
        <f t="shared" si="16"/>
        <v>1.5604492477880738</v>
      </c>
      <c r="Q150" s="2">
        <f t="shared" si="17"/>
        <v>1.1978381801405178</v>
      </c>
      <c r="R150" s="2">
        <f t="shared" si="18"/>
        <v>1.1998437560126587</v>
      </c>
    </row>
    <row r="151" spans="1:18">
      <c r="A151" t="s">
        <v>149</v>
      </c>
      <c r="B151">
        <v>2267050</v>
      </c>
      <c r="C151">
        <v>67757577</v>
      </c>
      <c r="D151">
        <v>112</v>
      </c>
      <c r="E151">
        <v>1</v>
      </c>
      <c r="F151">
        <v>48</v>
      </c>
      <c r="G151">
        <v>5.93</v>
      </c>
      <c r="L151" t="s">
        <v>149</v>
      </c>
      <c r="M151" s="2">
        <f t="shared" si="13"/>
        <v>0.7733043397921433</v>
      </c>
      <c r="N151" s="2">
        <f t="shared" si="14"/>
        <v>0.19012746619579191</v>
      </c>
      <c r="O151" s="2">
        <f t="shared" si="15"/>
        <v>2.7649238893963752</v>
      </c>
      <c r="P151" s="2">
        <f t="shared" si="16"/>
        <v>-1.1820808751716987</v>
      </c>
      <c r="Q151" s="2">
        <f t="shared" si="17"/>
        <v>-2.1141814185920897</v>
      </c>
      <c r="R151" s="2">
        <f t="shared" si="18"/>
        <v>-2.3320653951029153</v>
      </c>
    </row>
    <row r="152" spans="1:18">
      <c r="A152" t="s">
        <v>150</v>
      </c>
      <c r="B152">
        <v>510890</v>
      </c>
      <c r="C152">
        <v>69518555</v>
      </c>
      <c r="D152">
        <v>11</v>
      </c>
      <c r="E152">
        <v>21</v>
      </c>
      <c r="F152">
        <v>74</v>
      </c>
      <c r="G152">
        <v>9.07</v>
      </c>
      <c r="L152" t="s">
        <v>150</v>
      </c>
      <c r="M152" s="2">
        <f t="shared" si="13"/>
        <v>-0.12345210070888264</v>
      </c>
      <c r="N152" s="2">
        <f t="shared" si="14"/>
        <v>0.20230846202985903</v>
      </c>
      <c r="O152" s="2">
        <f t="shared" si="15"/>
        <v>-0.68774169463367307</v>
      </c>
      <c r="P152" s="2">
        <f t="shared" si="16"/>
        <v>-0.46036242176123232</v>
      </c>
      <c r="Q152" s="2">
        <f t="shared" si="17"/>
        <v>0.49528856828814655</v>
      </c>
      <c r="R152" s="2">
        <f t="shared" si="18"/>
        <v>0.11070877549243757</v>
      </c>
    </row>
    <row r="153" spans="1:18">
      <c r="A153" t="s">
        <v>151</v>
      </c>
      <c r="B153">
        <v>769630</v>
      </c>
      <c r="C153">
        <v>73639596</v>
      </c>
      <c r="D153">
        <v>14</v>
      </c>
      <c r="E153">
        <v>40</v>
      </c>
      <c r="F153">
        <v>74</v>
      </c>
      <c r="G153">
        <v>9.73</v>
      </c>
      <c r="L153" t="s">
        <v>151</v>
      </c>
      <c r="M153" s="2">
        <f t="shared" si="13"/>
        <v>8.6695518827009672E-3</v>
      </c>
      <c r="N153" s="2">
        <f t="shared" si="14"/>
        <v>0.23081443044798797</v>
      </c>
      <c r="O153" s="2">
        <f t="shared" si="15"/>
        <v>-0.58518727134565185</v>
      </c>
      <c r="P153" s="2">
        <f t="shared" si="16"/>
        <v>0.2252701089787108</v>
      </c>
      <c r="Q153" s="2">
        <f t="shared" si="17"/>
        <v>0.49528856828814655</v>
      </c>
      <c r="R153" s="2">
        <f t="shared" si="18"/>
        <v>0.62415812345197041</v>
      </c>
    </row>
    <row r="154" spans="1:18">
      <c r="A154" t="s">
        <v>152</v>
      </c>
      <c r="B154">
        <v>1628550</v>
      </c>
      <c r="C154">
        <v>74798599</v>
      </c>
      <c r="D154">
        <v>22</v>
      </c>
      <c r="E154">
        <v>13</v>
      </c>
      <c r="F154">
        <v>73</v>
      </c>
      <c r="G154">
        <v>9.35</v>
      </c>
      <c r="L154" t="s">
        <v>152</v>
      </c>
      <c r="M154" s="2">
        <f t="shared" si="13"/>
        <v>0.44726400903645763</v>
      </c>
      <c r="N154" s="2">
        <f t="shared" si="14"/>
        <v>0.23883145889165466</v>
      </c>
      <c r="O154" s="2">
        <f t="shared" si="15"/>
        <v>-0.31170880924426186</v>
      </c>
      <c r="P154" s="2">
        <f t="shared" si="16"/>
        <v>-0.74904980312541891</v>
      </c>
      <c r="Q154" s="2">
        <f t="shared" si="17"/>
        <v>0.39492433802352206</v>
      </c>
      <c r="R154" s="2">
        <f t="shared" si="18"/>
        <v>0.32853577159648123</v>
      </c>
    </row>
    <row r="155" spans="1:18">
      <c r="A155" t="s">
        <v>153</v>
      </c>
      <c r="B155">
        <v>348610</v>
      </c>
      <c r="C155">
        <v>81726000</v>
      </c>
      <c r="D155">
        <v>3</v>
      </c>
      <c r="E155">
        <v>83</v>
      </c>
      <c r="F155">
        <v>80</v>
      </c>
      <c r="G155">
        <v>10.58</v>
      </c>
      <c r="L155" t="s">
        <v>153</v>
      </c>
      <c r="M155" s="2">
        <f t="shared" si="13"/>
        <v>-0.20631791883735984</v>
      </c>
      <c r="N155" s="2">
        <f t="shared" si="14"/>
        <v>0.2867495150638002</v>
      </c>
      <c r="O155" s="2">
        <f t="shared" si="15"/>
        <v>-0.961220156735063</v>
      </c>
      <c r="P155" s="2">
        <f t="shared" si="16"/>
        <v>1.7769647838112137</v>
      </c>
      <c r="Q155" s="2">
        <f t="shared" si="17"/>
        <v>1.0974739498758934</v>
      </c>
      <c r="R155" s="2">
        <f t="shared" si="18"/>
        <v>1.285418647339247</v>
      </c>
    </row>
    <row r="156" spans="1:18">
      <c r="A156" t="s">
        <v>154</v>
      </c>
      <c r="B156">
        <v>995450</v>
      </c>
      <c r="C156">
        <v>82536770</v>
      </c>
      <c r="D156">
        <v>19</v>
      </c>
      <c r="E156">
        <v>27</v>
      </c>
      <c r="F156">
        <v>73</v>
      </c>
      <c r="G156">
        <v>8.75</v>
      </c>
      <c r="L156" t="s">
        <v>154</v>
      </c>
      <c r="M156" s="2">
        <f t="shared" si="13"/>
        <v>0.12398110629342761</v>
      </c>
      <c r="N156" s="2">
        <f t="shared" si="14"/>
        <v>0.29235775434469213</v>
      </c>
      <c r="O156" s="2">
        <f t="shared" si="15"/>
        <v>-0.41426323253228309</v>
      </c>
      <c r="P156" s="2">
        <f t="shared" si="16"/>
        <v>-0.24384688573809241</v>
      </c>
      <c r="Q156" s="2">
        <f t="shared" si="17"/>
        <v>0.39492433802352206</v>
      </c>
      <c r="R156" s="2">
        <f t="shared" si="18"/>
        <v>-0.13823636291218458</v>
      </c>
    </row>
    <row r="157" spans="1:18">
      <c r="A157" t="s">
        <v>155</v>
      </c>
      <c r="B157">
        <v>1000000</v>
      </c>
      <c r="C157">
        <v>84734262</v>
      </c>
      <c r="D157">
        <v>68</v>
      </c>
      <c r="E157">
        <v>1</v>
      </c>
      <c r="F157">
        <v>59</v>
      </c>
      <c r="G157">
        <v>7.02</v>
      </c>
      <c r="L157" t="s">
        <v>155</v>
      </c>
      <c r="M157" s="2">
        <f t="shared" si="13"/>
        <v>0.12630449471149868</v>
      </c>
      <c r="N157" s="2">
        <f t="shared" si="14"/>
        <v>0.30755819460992878</v>
      </c>
      <c r="O157" s="2">
        <f t="shared" si="15"/>
        <v>1.2607923478387304</v>
      </c>
      <c r="P157" s="2">
        <f t="shared" si="16"/>
        <v>-1.1820808751716987</v>
      </c>
      <c r="Q157" s="2">
        <f t="shared" si="17"/>
        <v>-1.0101748856812205</v>
      </c>
      <c r="R157" s="2">
        <f t="shared" si="18"/>
        <v>-1.4840960174121722</v>
      </c>
    </row>
    <row r="158" spans="1:18">
      <c r="A158" t="s">
        <v>156</v>
      </c>
      <c r="B158">
        <v>310070</v>
      </c>
      <c r="C158">
        <v>87840000</v>
      </c>
      <c r="D158">
        <v>19</v>
      </c>
      <c r="E158">
        <v>28</v>
      </c>
      <c r="F158">
        <v>75</v>
      </c>
      <c r="G158">
        <v>8.14</v>
      </c>
      <c r="L158" t="s">
        <v>156</v>
      </c>
      <c r="M158" s="2">
        <f t="shared" si="13"/>
        <v>-0.22599778469064744</v>
      </c>
      <c r="N158" s="2">
        <f t="shared" si="14"/>
        <v>0.32904113286339021</v>
      </c>
      <c r="O158" s="2">
        <f t="shared" si="15"/>
        <v>-0.41426323253228309</v>
      </c>
      <c r="P158" s="2">
        <f t="shared" si="16"/>
        <v>-0.20776096306756908</v>
      </c>
      <c r="Q158" s="2">
        <f t="shared" si="17"/>
        <v>0.59565279855277098</v>
      </c>
      <c r="R158" s="2">
        <f t="shared" si="18"/>
        <v>-0.6127880329959946</v>
      </c>
    </row>
    <row r="159" spans="1:18">
      <c r="A159" t="s">
        <v>157</v>
      </c>
      <c r="B159">
        <v>298170</v>
      </c>
      <c r="C159">
        <v>94852030</v>
      </c>
      <c r="D159">
        <v>23</v>
      </c>
      <c r="E159">
        <v>25</v>
      </c>
      <c r="F159">
        <v>68</v>
      </c>
      <c r="G159">
        <v>8.33</v>
      </c>
      <c r="L159" t="s">
        <v>157</v>
      </c>
      <c r="M159" s="2">
        <f t="shared" si="13"/>
        <v>-0.23207433901483329</v>
      </c>
      <c r="N159" s="2">
        <f t="shared" si="14"/>
        <v>0.37754458277494712</v>
      </c>
      <c r="O159" s="2">
        <f t="shared" si="15"/>
        <v>-0.27752400148158812</v>
      </c>
      <c r="P159" s="2">
        <f t="shared" si="16"/>
        <v>-0.31601873107913903</v>
      </c>
      <c r="Q159" s="2">
        <f t="shared" si="17"/>
        <v>-0.10689681329960031</v>
      </c>
      <c r="R159" s="2">
        <f t="shared" si="18"/>
        <v>-0.46497685706825076</v>
      </c>
    </row>
    <row r="160" spans="1:18">
      <c r="A160" t="s">
        <v>158</v>
      </c>
      <c r="B160">
        <v>1943950</v>
      </c>
      <c r="C160">
        <v>114793341</v>
      </c>
      <c r="D160">
        <v>14</v>
      </c>
      <c r="E160">
        <v>31</v>
      </c>
      <c r="F160">
        <v>77</v>
      </c>
      <c r="G160">
        <v>9.64</v>
      </c>
      <c r="L160" t="s">
        <v>158</v>
      </c>
      <c r="M160" s="2">
        <f t="shared" si="13"/>
        <v>0.60831823036824029</v>
      </c>
      <c r="N160" s="2">
        <f t="shared" si="14"/>
        <v>0.51548215281661547</v>
      </c>
      <c r="O160" s="2">
        <f t="shared" si="15"/>
        <v>-0.58518727134565185</v>
      </c>
      <c r="P160" s="2">
        <f t="shared" si="16"/>
        <v>-9.9503195055999111E-2</v>
      </c>
      <c r="Q160" s="2">
        <f t="shared" si="17"/>
        <v>0.79638125908201995</v>
      </c>
      <c r="R160" s="2">
        <f t="shared" si="18"/>
        <v>0.5541423032756706</v>
      </c>
    </row>
    <row r="161" spans="1:18">
      <c r="A161" t="s">
        <v>159</v>
      </c>
      <c r="B161">
        <v>364500</v>
      </c>
      <c r="C161">
        <v>127817277</v>
      </c>
      <c r="D161">
        <v>2</v>
      </c>
      <c r="E161">
        <v>78</v>
      </c>
      <c r="F161">
        <v>83</v>
      </c>
      <c r="G161">
        <v>10.44</v>
      </c>
      <c r="L161" t="s">
        <v>159</v>
      </c>
      <c r="M161" s="2">
        <f t="shared" si="13"/>
        <v>-0.19820393159271169</v>
      </c>
      <c r="N161" s="2">
        <f t="shared" si="14"/>
        <v>0.60557101829883997</v>
      </c>
      <c r="O161" s="2">
        <f t="shared" si="15"/>
        <v>-0.99540496449773674</v>
      </c>
      <c r="P161" s="2">
        <f t="shared" si="16"/>
        <v>1.5965351704585971</v>
      </c>
      <c r="Q161" s="2">
        <f t="shared" si="17"/>
        <v>1.3985666406697668</v>
      </c>
      <c r="R161" s="2">
        <f t="shared" si="18"/>
        <v>1.1765051492872245</v>
      </c>
    </row>
    <row r="162" spans="1:18">
      <c r="A162" t="s">
        <v>160</v>
      </c>
      <c r="B162">
        <v>16376870</v>
      </c>
      <c r="C162">
        <v>141930000</v>
      </c>
      <c r="D162">
        <v>9</v>
      </c>
      <c r="E162">
        <v>43</v>
      </c>
      <c r="F162">
        <v>69</v>
      </c>
      <c r="G162">
        <v>9.9700000000000006</v>
      </c>
      <c r="L162" t="s">
        <v>160</v>
      </c>
      <c r="M162" s="2">
        <f t="shared" si="13"/>
        <v>7.9782696956311261</v>
      </c>
      <c r="N162" s="2">
        <f t="shared" si="14"/>
        <v>0.70319121575181409</v>
      </c>
      <c r="O162" s="2">
        <f t="shared" si="15"/>
        <v>-0.75611131015902056</v>
      </c>
      <c r="P162" s="2">
        <f t="shared" si="16"/>
        <v>0.33352787699028075</v>
      </c>
      <c r="Q162" s="2">
        <f t="shared" si="17"/>
        <v>-6.5325830349758363E-3</v>
      </c>
      <c r="R162" s="2">
        <f t="shared" si="18"/>
        <v>0.81086697725543699</v>
      </c>
    </row>
    <row r="163" spans="1:18">
      <c r="A163" t="s">
        <v>161</v>
      </c>
      <c r="B163">
        <v>130170</v>
      </c>
      <c r="C163">
        <v>150493658</v>
      </c>
      <c r="D163">
        <v>38</v>
      </c>
      <c r="E163">
        <v>4</v>
      </c>
      <c r="F163">
        <v>69</v>
      </c>
      <c r="G163">
        <v>7.49</v>
      </c>
      <c r="L163" t="s">
        <v>161</v>
      </c>
      <c r="M163" s="2">
        <f t="shared" si="13"/>
        <v>-0.31786098829745696</v>
      </c>
      <c r="N163" s="2">
        <f t="shared" si="14"/>
        <v>0.76242755057392753</v>
      </c>
      <c r="O163" s="2">
        <f t="shared" si="15"/>
        <v>0.23524811495851811</v>
      </c>
      <c r="P163" s="2">
        <f t="shared" si="16"/>
        <v>-1.0738231071601287</v>
      </c>
      <c r="Q163" s="2">
        <f t="shared" si="17"/>
        <v>-6.5325830349758363E-3</v>
      </c>
      <c r="R163" s="2">
        <f t="shared" si="18"/>
        <v>-1.1184578453803833</v>
      </c>
    </row>
    <row r="164" spans="1:18">
      <c r="A164" t="s">
        <v>162</v>
      </c>
      <c r="B164">
        <v>910770</v>
      </c>
      <c r="C164">
        <v>162470737</v>
      </c>
      <c r="D164">
        <v>88</v>
      </c>
      <c r="E164">
        <v>28</v>
      </c>
      <c r="F164">
        <v>51</v>
      </c>
      <c r="G164">
        <v>7.84</v>
      </c>
      <c r="L164" t="s">
        <v>162</v>
      </c>
      <c r="M164" s="2">
        <f t="shared" si="13"/>
        <v>8.0740549976448014E-2</v>
      </c>
      <c r="N164" s="2">
        <f t="shared" si="14"/>
        <v>0.84527512130070137</v>
      </c>
      <c r="O164" s="2">
        <f t="shared" si="15"/>
        <v>1.9444885030922052</v>
      </c>
      <c r="P164" s="2">
        <f t="shared" si="16"/>
        <v>-0.20776096306756908</v>
      </c>
      <c r="Q164" s="2">
        <f t="shared" si="17"/>
        <v>-1.8130887277982164</v>
      </c>
      <c r="R164" s="2">
        <f t="shared" si="18"/>
        <v>-0.84617410025032824</v>
      </c>
    </row>
    <row r="165" spans="1:18">
      <c r="A165" t="s">
        <v>163</v>
      </c>
      <c r="B165">
        <v>770880</v>
      </c>
      <c r="C165">
        <v>176745364</v>
      </c>
      <c r="D165">
        <v>70</v>
      </c>
      <c r="E165">
        <v>17</v>
      </c>
      <c r="F165">
        <v>65</v>
      </c>
      <c r="G165">
        <v>7.92</v>
      </c>
      <c r="L165" t="s">
        <v>163</v>
      </c>
      <c r="M165" s="2">
        <f t="shared" si="13"/>
        <v>9.3078454041490601E-3</v>
      </c>
      <c r="N165" s="2">
        <f t="shared" si="14"/>
        <v>0.94401523731570114</v>
      </c>
      <c r="O165" s="2">
        <f t="shared" si="15"/>
        <v>1.3291619633640779</v>
      </c>
      <c r="P165" s="2">
        <f t="shared" si="16"/>
        <v>-0.60470611244332562</v>
      </c>
      <c r="Q165" s="2">
        <f t="shared" si="17"/>
        <v>-0.40798950409347373</v>
      </c>
      <c r="R165" s="2">
        <f t="shared" si="18"/>
        <v>-0.78393781564917275</v>
      </c>
    </row>
    <row r="166" spans="1:18">
      <c r="A166" t="s">
        <v>164</v>
      </c>
      <c r="B166">
        <v>8459420</v>
      </c>
      <c r="C166">
        <v>196655014</v>
      </c>
      <c r="D166">
        <v>17</v>
      </c>
      <c r="E166">
        <v>41</v>
      </c>
      <c r="F166">
        <v>73</v>
      </c>
      <c r="G166">
        <v>9.3699999999999992</v>
      </c>
      <c r="L166" t="s">
        <v>164</v>
      </c>
      <c r="M166" s="2">
        <f t="shared" si="13"/>
        <v>3.9353440625197642</v>
      </c>
      <c r="N166" s="2">
        <f t="shared" si="14"/>
        <v>1.0817338026286889</v>
      </c>
      <c r="O166" s="2">
        <f t="shared" si="15"/>
        <v>-0.48263284805763057</v>
      </c>
      <c r="P166" s="2">
        <f t="shared" si="16"/>
        <v>0.2613560316492341</v>
      </c>
      <c r="Q166" s="2">
        <f t="shared" si="17"/>
        <v>0.39492433802352206</v>
      </c>
      <c r="R166" s="2">
        <f t="shared" si="18"/>
        <v>0.34409484274676977</v>
      </c>
    </row>
    <row r="167" spans="1:18">
      <c r="A167" t="s">
        <v>165</v>
      </c>
      <c r="B167">
        <v>1811570</v>
      </c>
      <c r="C167">
        <v>242325638</v>
      </c>
      <c r="D167">
        <v>27</v>
      </c>
      <c r="E167">
        <v>10</v>
      </c>
      <c r="F167">
        <v>69</v>
      </c>
      <c r="G167">
        <v>8.4499999999999993</v>
      </c>
      <c r="L167" t="s">
        <v>165</v>
      </c>
      <c r="M167" s="2">
        <f t="shared" si="13"/>
        <v>0.54072039327280152</v>
      </c>
      <c r="N167" s="2">
        <f t="shared" si="14"/>
        <v>1.3976455747707861</v>
      </c>
      <c r="O167" s="2">
        <f t="shared" si="15"/>
        <v>-0.1407847704308931</v>
      </c>
      <c r="P167" s="2">
        <f t="shared" si="16"/>
        <v>-0.85730757113698886</v>
      </c>
      <c r="Q167" s="2">
        <f t="shared" si="17"/>
        <v>-6.5325830349758363E-3</v>
      </c>
      <c r="R167" s="2">
        <f t="shared" si="18"/>
        <v>-0.37162243016651819</v>
      </c>
    </row>
    <row r="168" spans="1:18">
      <c r="A168" t="s">
        <v>166</v>
      </c>
      <c r="B168">
        <v>9147420</v>
      </c>
      <c r="C168">
        <v>311591917</v>
      </c>
      <c r="D168">
        <v>7</v>
      </c>
      <c r="E168">
        <v>74</v>
      </c>
      <c r="F168">
        <v>78</v>
      </c>
      <c r="G168">
        <v>10.79</v>
      </c>
      <c r="L168" t="s">
        <v>166</v>
      </c>
      <c r="M168" s="2">
        <f t="shared" si="13"/>
        <v>4.2866608167247948</v>
      </c>
      <c r="N168" s="2">
        <f t="shared" si="14"/>
        <v>1.8767726597998617</v>
      </c>
      <c r="O168" s="2">
        <f t="shared" si="15"/>
        <v>-0.82448092568436804</v>
      </c>
      <c r="P168" s="2">
        <f t="shared" si="16"/>
        <v>1.4521914797765039</v>
      </c>
      <c r="Q168" s="2">
        <f t="shared" si="17"/>
        <v>0.89674548934664444</v>
      </c>
      <c r="R168" s="2">
        <f t="shared" si="18"/>
        <v>1.4487888944172795</v>
      </c>
    </row>
    <row r="169" spans="1:18">
      <c r="A169" t="s">
        <v>167</v>
      </c>
      <c r="B169">
        <v>2973190</v>
      </c>
      <c r="C169">
        <v>1241491960</v>
      </c>
      <c r="D169">
        <v>48</v>
      </c>
      <c r="E169">
        <v>8</v>
      </c>
      <c r="F169">
        <v>65</v>
      </c>
      <c r="G169">
        <v>8.1999999999999993</v>
      </c>
      <c r="L169" t="s">
        <v>167</v>
      </c>
      <c r="M169" s="2">
        <f t="shared" si="13"/>
        <v>1.1338840095804283</v>
      </c>
      <c r="N169" s="2">
        <f t="shared" si="14"/>
        <v>8.3090554877976235</v>
      </c>
      <c r="O169" s="2">
        <f t="shared" si="15"/>
        <v>0.57709619258525557</v>
      </c>
      <c r="P169" s="2">
        <f t="shared" si="16"/>
        <v>-0.92947941647803556</v>
      </c>
      <c r="Q169" s="2">
        <f t="shared" si="17"/>
        <v>-0.40798950409347373</v>
      </c>
      <c r="R169" s="2">
        <f t="shared" si="18"/>
        <v>-0.56611081954512898</v>
      </c>
    </row>
    <row r="170" spans="1:18">
      <c r="A170" t="s">
        <v>168</v>
      </c>
      <c r="B170">
        <v>9327480</v>
      </c>
      <c r="C170">
        <v>1344130000</v>
      </c>
      <c r="D170">
        <v>16</v>
      </c>
      <c r="E170">
        <v>34</v>
      </c>
      <c r="F170">
        <v>73</v>
      </c>
      <c r="G170">
        <v>9.0399999999999991</v>
      </c>
      <c r="L170" t="s">
        <v>168</v>
      </c>
      <c r="M170" s="2">
        <f t="shared" si="13"/>
        <v>4.3786057219023498</v>
      </c>
      <c r="N170" s="2">
        <f t="shared" si="14"/>
        <v>9.0190209374834325</v>
      </c>
      <c r="O170" s="2">
        <f t="shared" si="15"/>
        <v>-0.51681765582030437</v>
      </c>
      <c r="P170" s="2">
        <f t="shared" si="16"/>
        <v>8.7545729555708642E-3</v>
      </c>
      <c r="Q170" s="2">
        <f t="shared" si="17"/>
        <v>0.39492433802352206</v>
      </c>
      <c r="R170" s="2">
        <f t="shared" si="18"/>
        <v>8.7370168767003376E-2</v>
      </c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5DCF7-1A45-4152-9D5B-95886BE7D7B2}">
  <sheetPr codeName="Munka2"/>
  <dimension ref="A1:Q190"/>
  <sheetViews>
    <sheetView workbookViewId="0"/>
  </sheetViews>
  <sheetFormatPr defaultRowHeight="15"/>
  <cols>
    <col min="1" max="1" width="36.5703125" bestFit="1" customWidth="1"/>
    <col min="2" max="3" width="15.42578125" bestFit="1" customWidth="1"/>
    <col min="4" max="4" width="37" bestFit="1" customWidth="1"/>
    <col min="5" max="5" width="29.42578125" bestFit="1" customWidth="1"/>
    <col min="6" max="6" width="33.140625" bestFit="1" customWidth="1"/>
    <col min="7" max="7" width="15.42578125" bestFit="1" customWidth="1"/>
    <col min="8" max="8" width="9.28515625" customWidth="1"/>
    <col min="9" max="9" width="10.85546875" customWidth="1"/>
    <col min="10" max="10" width="12.85546875" customWidth="1"/>
    <col min="11" max="11" width="16.42578125" customWidth="1"/>
    <col min="12" max="12" width="22.5703125" customWidth="1"/>
    <col min="13" max="13" width="10.140625" bestFit="1" customWidth="1"/>
    <col min="14" max="14" width="10.28515625" bestFit="1" customWidth="1"/>
    <col min="15" max="15" width="9.28515625" bestFit="1" customWidth="1"/>
  </cols>
  <sheetData>
    <row r="1" spans="1:14" ht="15.75" thickBot="1">
      <c r="A1" s="4" t="s">
        <v>260</v>
      </c>
      <c r="B1" s="4" t="s">
        <v>253</v>
      </c>
      <c r="C1" s="4" t="s">
        <v>254</v>
      </c>
      <c r="D1" s="4" t="s">
        <v>255</v>
      </c>
      <c r="E1" s="4" t="s">
        <v>256</v>
      </c>
      <c r="F1" s="4" t="s">
        <v>257</v>
      </c>
      <c r="G1" s="4" t="s">
        <v>258</v>
      </c>
    </row>
    <row r="2" spans="1:14" ht="15.75" thickBot="1">
      <c r="A2" s="4" t="s">
        <v>253</v>
      </c>
      <c r="B2" s="7">
        <f>VARP(Data!$M$2:$M$170)</f>
        <v>0.99408284023668636</v>
      </c>
      <c r="C2" s="5">
        <f t="array" ref="C2:G2">TRANSPOSE(B3:B7)</f>
        <v>0.44277945286592646</v>
      </c>
      <c r="D2" s="5">
        <v>-6.1849557970443378E-2</v>
      </c>
      <c r="E2" s="5">
        <v>6.2720073437284585E-2</v>
      </c>
      <c r="F2" s="5">
        <v>4.7204749319831818E-2</v>
      </c>
      <c r="G2" s="5">
        <v>0.10744115794598158</v>
      </c>
      <c r="I2" s="49" t="s">
        <v>270</v>
      </c>
      <c r="J2" s="50"/>
      <c r="K2" s="50"/>
      <c r="L2" s="50"/>
      <c r="M2" s="50"/>
      <c r="N2" s="51"/>
    </row>
    <row r="3" spans="1:14" ht="15.75" thickBot="1">
      <c r="A3" s="4" t="s">
        <v>254</v>
      </c>
      <c r="B3" s="5">
        <v>0.44277945286592646</v>
      </c>
      <c r="C3" s="7">
        <f>VARP(Data!$N$2:$N$170)</f>
        <v>0.99408284023668625</v>
      </c>
      <c r="D3" s="5">
        <f t="array" ref="D3:G3">TRANSPOSE(C4:C7)</f>
        <v>-1.6728138731008499E-3</v>
      </c>
      <c r="E3" s="5">
        <v>-3.9633449420999688E-2</v>
      </c>
      <c r="F3" s="5">
        <v>1.3149705387481732E-2</v>
      </c>
      <c r="G3" s="5">
        <v>-2.0518220982474706E-2</v>
      </c>
      <c r="I3" s="52"/>
      <c r="J3" s="53"/>
      <c r="K3" s="53"/>
      <c r="L3" s="53"/>
      <c r="M3" s="53"/>
      <c r="N3" s="54"/>
    </row>
    <row r="4" spans="1:14" ht="15.75" thickBot="1">
      <c r="A4" s="4" t="s">
        <v>255</v>
      </c>
      <c r="B4" s="5">
        <v>-6.1849557970443378E-2</v>
      </c>
      <c r="C4" s="5">
        <v>-1.6728138731008499E-3</v>
      </c>
      <c r="D4" s="7">
        <f>VARP(Data!$O$2:$O$170)</f>
        <v>0.99408284023668603</v>
      </c>
      <c r="E4" s="5">
        <f t="array" ref="E4:G4">TRANSPOSE(D5:D7)</f>
        <v>-0.74571738295302026</v>
      </c>
      <c r="F4" s="5">
        <v>-0.92820516914659212</v>
      </c>
      <c r="G4" s="5">
        <v>-0.81308579123526725</v>
      </c>
      <c r="I4" s="52"/>
      <c r="J4" s="53"/>
      <c r="K4" s="53"/>
      <c r="L4" s="53"/>
      <c r="M4" s="53"/>
      <c r="N4" s="54"/>
    </row>
    <row r="5" spans="1:14" ht="15.75" thickBot="1">
      <c r="A5" s="4" t="s">
        <v>256</v>
      </c>
      <c r="B5" s="5">
        <v>6.2720073437284585E-2</v>
      </c>
      <c r="C5" s="5">
        <v>-3.9633449420999688E-2</v>
      </c>
      <c r="D5" s="5">
        <v>-0.74571738295302026</v>
      </c>
      <c r="E5" s="7">
        <f>VARP(Data!$P$2:$P$170)</f>
        <v>0.9940828402366868</v>
      </c>
      <c r="F5" s="5">
        <f t="array" ref="F5:G5">TRANSPOSE(E6:E7)</f>
        <v>0.77485149767305983</v>
      </c>
      <c r="G5" s="5">
        <v>0.83715450898458499</v>
      </c>
      <c r="I5" s="52"/>
      <c r="J5" s="53"/>
      <c r="K5" s="53"/>
      <c r="L5" s="53"/>
      <c r="M5" s="53"/>
      <c r="N5" s="54"/>
    </row>
    <row r="6" spans="1:14" ht="15.75" thickBot="1">
      <c r="A6" s="4" t="s">
        <v>257</v>
      </c>
      <c r="B6" s="5">
        <v>4.7204749319831818E-2</v>
      </c>
      <c r="C6" s="5">
        <v>1.3149705387481732E-2</v>
      </c>
      <c r="D6" s="5">
        <v>-0.92820516914659212</v>
      </c>
      <c r="E6" s="5">
        <v>0.77485149767305983</v>
      </c>
      <c r="F6" s="7">
        <f>VARP(Data!$Q$2:$Q$170)</f>
        <v>0.99408284023668847</v>
      </c>
      <c r="G6" s="5">
        <f>F7</f>
        <v>0.79482527515920132</v>
      </c>
      <c r="I6" s="52"/>
      <c r="J6" s="53"/>
      <c r="K6" s="53"/>
      <c r="L6" s="53"/>
      <c r="M6" s="53"/>
      <c r="N6" s="54"/>
    </row>
    <row r="7" spans="1:14" ht="15.75" thickBot="1">
      <c r="A7" s="4" t="s">
        <v>258</v>
      </c>
      <c r="B7" s="6">
        <v>0.10744115794598158</v>
      </c>
      <c r="C7" s="6">
        <v>-2.0518220982474706E-2</v>
      </c>
      <c r="D7" s="6">
        <v>-0.81308579123526725</v>
      </c>
      <c r="E7" s="6">
        <v>0.83715450898458499</v>
      </c>
      <c r="F7" s="6">
        <v>0.79482527515920132</v>
      </c>
      <c r="G7" s="8">
        <f>VARP(Data!$R$2:$R$170)</f>
        <v>0.99408284023672144</v>
      </c>
      <c r="I7" s="55"/>
      <c r="J7" s="56"/>
      <c r="K7" s="56"/>
      <c r="L7" s="56"/>
      <c r="M7" s="56"/>
      <c r="N7" s="57"/>
    </row>
    <row r="9" spans="1:14">
      <c r="A9" s="13" t="s">
        <v>261</v>
      </c>
      <c r="B9" s="7">
        <f>B2+C3+D4+E5+F6+G7</f>
        <v>5.9644970414201559</v>
      </c>
      <c r="C9" s="7">
        <f>SUM(A13:A18)</f>
        <v>5.964497041420155</v>
      </c>
    </row>
    <row r="12" spans="1:14">
      <c r="A12" s="10" t="s">
        <v>262</v>
      </c>
      <c r="B12" s="58" t="s">
        <v>263</v>
      </c>
      <c r="C12" s="58"/>
      <c r="D12" s="58"/>
      <c r="E12" s="58"/>
      <c r="F12" s="58"/>
      <c r="G12" s="58"/>
    </row>
    <row r="13" spans="1:14">
      <c r="A13" s="11">
        <f t="array" ref="A13:G18">EIGEN_JK(B2:G7)</f>
        <v>3.4498899464101043</v>
      </c>
      <c r="B13">
        <v>5.6937088352821706E-2</v>
      </c>
      <c r="C13">
        <v>0.70261349170361376</v>
      </c>
      <c r="D13">
        <v>0.6952350215121893</v>
      </c>
      <c r="E13">
        <v>-0.12636869121001096</v>
      </c>
      <c r="F13">
        <v>6.0462391985456151E-2</v>
      </c>
      <c r="G13">
        <v>1.0768804305503955E-2</v>
      </c>
    </row>
    <row r="14" spans="1:14">
      <c r="A14" s="11">
        <v>1.4342303493723827</v>
      </c>
      <c r="B14">
        <v>1.3256122587711773E-3</v>
      </c>
      <c r="C14">
        <v>0.70995426549390483</v>
      </c>
      <c r="D14">
        <v>-0.68972746474395041</v>
      </c>
      <c r="E14">
        <v>0.13845631900852698</v>
      </c>
      <c r="F14">
        <v>-2.8116012320577945E-2</v>
      </c>
      <c r="G14">
        <v>-1.6689685881710752E-2</v>
      </c>
    </row>
    <row r="15" spans="1:14">
      <c r="A15" s="11">
        <v>0.55728189124179484</v>
      </c>
      <c r="B15">
        <v>-0.50551570427198955</v>
      </c>
      <c r="C15">
        <v>1.7699173039779331E-2</v>
      </c>
      <c r="D15">
        <v>9.8419868600030908E-2</v>
      </c>
      <c r="E15">
        <v>0.50026997034119669</v>
      </c>
      <c r="F15">
        <v>6.0794777247403474E-2</v>
      </c>
      <c r="G15">
        <v>0.69317248452828251</v>
      </c>
    </row>
    <row r="16" spans="1:14">
      <c r="A16" s="11">
        <v>0.30899079829039161</v>
      </c>
      <c r="B16">
        <v>0.48499324424051193</v>
      </c>
      <c r="C16">
        <v>-3.9433002638439997E-2</v>
      </c>
      <c r="D16">
        <v>6.9633598616748907E-2</v>
      </c>
      <c r="E16">
        <v>0.63953803201868675</v>
      </c>
      <c r="F16">
        <v>0.56714258574993592</v>
      </c>
      <c r="G16">
        <v>-0.16648767617515486</v>
      </c>
    </row>
    <row r="17" spans="1:17">
      <c r="A17" s="11">
        <v>0.15431495120870442</v>
      </c>
      <c r="B17">
        <v>0.50675558265695864</v>
      </c>
      <c r="C17">
        <v>-2.0031032220504903E-2</v>
      </c>
      <c r="D17">
        <v>-0.13450454125373196</v>
      </c>
      <c r="E17">
        <v>-0.43509303706870767</v>
      </c>
      <c r="F17">
        <v>0.27182642308307065</v>
      </c>
      <c r="G17">
        <v>0.67934564868298219</v>
      </c>
    </row>
    <row r="18" spans="1:17">
      <c r="A18" s="11">
        <v>5.9789104896777925E-2</v>
      </c>
      <c r="B18">
        <v>0.49918995977834552</v>
      </c>
      <c r="C18">
        <v>-5.4550442593199501E-3</v>
      </c>
      <c r="D18">
        <v>9.1090663799238802E-2</v>
      </c>
      <c r="E18">
        <v>0.34099254109040172</v>
      </c>
      <c r="F18">
        <v>-0.7722159459689788</v>
      </c>
      <c r="G18">
        <v>0.17288359444777399</v>
      </c>
    </row>
    <row r="20" spans="1:17" ht="15" customHeight="1"/>
    <row r="21" spans="1:17">
      <c r="A21" s="1" t="s">
        <v>252</v>
      </c>
      <c r="B21" s="1" t="s">
        <v>264</v>
      </c>
      <c r="C21" s="1" t="s">
        <v>265</v>
      </c>
      <c r="D21" s="1" t="s">
        <v>266</v>
      </c>
      <c r="E21" s="1" t="s">
        <v>267</v>
      </c>
      <c r="F21" s="1" t="s">
        <v>268</v>
      </c>
      <c r="G21" s="1" t="s">
        <v>269</v>
      </c>
      <c r="P21" s="29"/>
      <c r="Q21" s="29"/>
    </row>
    <row r="22" spans="1:17">
      <c r="A22" s="12" t="s">
        <v>0</v>
      </c>
      <c r="B22" cm="1">
        <f t="array" ref="B22:G190">MMULT(NormalizaltAdatok,B13:G18)</f>
        <v>1.1213609792046288</v>
      </c>
      <c r="C22">
        <v>-0.50231447384740036</v>
      </c>
      <c r="D22">
        <v>-8.5812913924348644E-2</v>
      </c>
      <c r="E22">
        <v>1.062213711978538E-2</v>
      </c>
      <c r="F22">
        <v>-0.5518853140925416</v>
      </c>
      <c r="G22">
        <v>-5.9317482477827588E-2</v>
      </c>
      <c r="K22" s="1" t="s">
        <v>271</v>
      </c>
      <c r="L22" s="1" t="s">
        <v>272</v>
      </c>
      <c r="M22" s="1" t="s">
        <v>273</v>
      </c>
      <c r="N22" s="1" t="s">
        <v>274</v>
      </c>
    </row>
    <row r="23" spans="1:17">
      <c r="A23" s="12" t="s">
        <v>1</v>
      </c>
      <c r="B23">
        <v>0.85179142696859866</v>
      </c>
      <c r="C23">
        <v>-0.49507763327953253</v>
      </c>
      <c r="D23">
        <v>-0.2175830103088276</v>
      </c>
      <c r="E23">
        <v>-0.58442448931731905</v>
      </c>
      <c r="F23">
        <v>-0.12336602248461882</v>
      </c>
      <c r="G23">
        <v>6.5346227915600505E-3</v>
      </c>
      <c r="J23" s="13" t="s">
        <v>264</v>
      </c>
      <c r="K23" s="2">
        <f>AVERAGE(B22:B190)</f>
        <v>-1.395990489543466E-15</v>
      </c>
      <c r="L23" s="14">
        <f>_xlfn.VAR.P(B22:B190)</f>
        <v>3.4498899464101043</v>
      </c>
      <c r="M23">
        <f t="shared" ref="M23:M28" si="0">A13</f>
        <v>3.4498899464101043</v>
      </c>
      <c r="N23" s="35">
        <f>L23-M23</f>
        <v>0</v>
      </c>
    </row>
    <row r="24" spans="1:17">
      <c r="A24" s="12" t="s">
        <v>2</v>
      </c>
      <c r="B24">
        <v>1.1114452780677495</v>
      </c>
      <c r="C24">
        <v>-0.53346850272095703</v>
      </c>
      <c r="D24">
        <v>-3.9096788888503611E-2</v>
      </c>
      <c r="E24">
        <v>0.60720355680233284</v>
      </c>
      <c r="F24">
        <v>0.56355002326447812</v>
      </c>
      <c r="G24">
        <v>-0.25555968435377974</v>
      </c>
      <c r="J24" s="13" t="s">
        <v>265</v>
      </c>
      <c r="K24" s="2">
        <f>AVERAGE(C22:C190)</f>
        <v>-1.1562085936924707E-16</v>
      </c>
      <c r="L24" s="14">
        <f>_xlfn.VAR.P(C22:C190)</f>
        <v>1.4342303493723811</v>
      </c>
      <c r="M24">
        <f t="shared" si="0"/>
        <v>1.4342303493723827</v>
      </c>
      <c r="N24" s="35">
        <f t="shared" ref="N24:N28" si="1">L24-M24</f>
        <v>0</v>
      </c>
    </row>
    <row r="25" spans="1:17">
      <c r="A25" s="12" t="s">
        <v>3</v>
      </c>
      <c r="B25">
        <v>-1.4201994514778846</v>
      </c>
      <c r="C25">
        <v>-0.41670236655145865</v>
      </c>
      <c r="D25">
        <v>-6.2576517158336536E-2</v>
      </c>
      <c r="E25">
        <v>-7.9331904817951993E-2</v>
      </c>
      <c r="F25">
        <v>0.36944656042608359</v>
      </c>
      <c r="G25">
        <v>8.7782067304377098E-2</v>
      </c>
      <c r="J25" s="13" t="s">
        <v>266</v>
      </c>
      <c r="K25" s="2">
        <f>AVERAGE(D22:D190)</f>
        <v>-2.2335847832695458E-16</v>
      </c>
      <c r="L25" s="14">
        <f>_xlfn.VAR.P(D22:D190)</f>
        <v>0.55728189124179539</v>
      </c>
      <c r="M25">
        <f t="shared" si="0"/>
        <v>0.55728189124179484</v>
      </c>
      <c r="N25" s="35">
        <f t="shared" si="1"/>
        <v>0</v>
      </c>
    </row>
    <row r="26" spans="1:17">
      <c r="A26" s="12" t="s">
        <v>4</v>
      </c>
      <c r="B26">
        <v>0.72016595326562327</v>
      </c>
      <c r="C26">
        <v>-0.49682493086692531</v>
      </c>
      <c r="D26">
        <v>-0.1684625932114536</v>
      </c>
      <c r="E26">
        <v>-0.29507883014127217</v>
      </c>
      <c r="F26">
        <v>7.784470190794246E-2</v>
      </c>
      <c r="G26">
        <v>-7.6275516509235336E-2</v>
      </c>
      <c r="J26" s="13" t="s">
        <v>267</v>
      </c>
      <c r="K26" s="2">
        <f>AVERAGE(E22:E190)</f>
        <v>-7.5909035796116474E-16</v>
      </c>
      <c r="L26" s="14">
        <f>_xlfn.VAR.P(E22:E190)</f>
        <v>0.30899079829039133</v>
      </c>
      <c r="M26">
        <f t="shared" si="0"/>
        <v>0.30899079829039161</v>
      </c>
      <c r="N26" s="35">
        <f t="shared" si="1"/>
        <v>0</v>
      </c>
    </row>
    <row r="27" spans="1:17">
      <c r="A27" s="12" t="s">
        <v>5</v>
      </c>
      <c r="B27">
        <v>1.6255515651828571</v>
      </c>
      <c r="C27">
        <v>-0.5463694858475695</v>
      </c>
      <c r="D27">
        <v>-7.299255358837943E-2</v>
      </c>
      <c r="E27">
        <v>0.50867671391845026</v>
      </c>
      <c r="F27">
        <v>0.34733706453090674</v>
      </c>
      <c r="G27">
        <v>0.11594695345468928</v>
      </c>
      <c r="J27" s="13" t="s">
        <v>268</v>
      </c>
      <c r="K27" s="2">
        <f>AVERAGE(F22:F190)</f>
        <v>2.0379818805582202E-15</v>
      </c>
      <c r="L27" s="14">
        <f>_xlfn.VAR.P(F22:F190)</f>
        <v>0.15431495120870403</v>
      </c>
      <c r="M27">
        <f t="shared" si="0"/>
        <v>0.15431495120870442</v>
      </c>
      <c r="N27" s="35">
        <f t="shared" si="1"/>
        <v>-3.8857805861880479E-16</v>
      </c>
    </row>
    <row r="28" spans="1:17">
      <c r="A28" s="12" t="s">
        <v>6</v>
      </c>
      <c r="B28">
        <v>2.7985714843504521</v>
      </c>
      <c r="C28">
        <v>-0.56720789051973919</v>
      </c>
      <c r="D28">
        <v>-3.0840721539814486E-2</v>
      </c>
      <c r="E28">
        <v>0.84354902412124622</v>
      </c>
      <c r="F28">
        <v>0.56998905164492852</v>
      </c>
      <c r="G28">
        <v>-3.5003238751897814E-2</v>
      </c>
      <c r="J28" s="13" t="s">
        <v>269</v>
      </c>
      <c r="K28" s="2">
        <f>AVERAGE(G22:G190)</f>
        <v>-7.26571991263564E-16</v>
      </c>
      <c r="L28" s="14">
        <f>_xlfn.VAR.P(G22:G190)</f>
        <v>5.9789104896777065E-2</v>
      </c>
      <c r="M28">
        <f t="shared" si="0"/>
        <v>5.9789104896777925E-2</v>
      </c>
      <c r="N28" s="35">
        <f t="shared" si="1"/>
        <v>-8.6042284408449632E-16</v>
      </c>
    </row>
    <row r="29" spans="1:17">
      <c r="A29" s="12" t="s">
        <v>7</v>
      </c>
      <c r="B29">
        <v>0.64330418867107264</v>
      </c>
      <c r="C29">
        <v>-0.48497188139634767</v>
      </c>
      <c r="D29">
        <v>-0.24345511374468526</v>
      </c>
      <c r="E29">
        <v>-0.7161278270634257</v>
      </c>
      <c r="F29">
        <v>-5.5900896099508879E-2</v>
      </c>
      <c r="G29">
        <v>0.19362172119065751</v>
      </c>
    </row>
    <row r="30" spans="1:17">
      <c r="A30" s="12" t="s">
        <v>8</v>
      </c>
      <c r="B30">
        <v>1.3014715633865865</v>
      </c>
      <c r="C30">
        <v>-0.50411095088478997</v>
      </c>
      <c r="D30">
        <v>-8.4740133304647955E-2</v>
      </c>
      <c r="E30">
        <v>5.6335649591597259E-2</v>
      </c>
      <c r="F30">
        <v>-0.57213934636046293</v>
      </c>
      <c r="G30">
        <v>0.13934418181282188</v>
      </c>
      <c r="K30" s="60" t="s">
        <v>275</v>
      </c>
      <c r="L30" s="60" t="s">
        <v>276</v>
      </c>
    </row>
    <row r="31" spans="1:17">
      <c r="A31" s="12" t="s">
        <v>9</v>
      </c>
      <c r="B31">
        <v>0.21795690054451528</v>
      </c>
      <c r="C31">
        <v>-0.45213069069462813</v>
      </c>
      <c r="D31">
        <v>-0.28038113618536681</v>
      </c>
      <c r="E31">
        <v>-1.0969825491142251</v>
      </c>
      <c r="F31">
        <v>-0.21526566097076816</v>
      </c>
      <c r="G31">
        <v>0.17667353594941934</v>
      </c>
      <c r="K31" s="60"/>
      <c r="L31" s="60"/>
      <c r="M31" s="29"/>
      <c r="N31" s="29"/>
    </row>
    <row r="32" spans="1:17">
      <c r="A32" s="12" t="s">
        <v>10</v>
      </c>
      <c r="B32">
        <v>1.8894283237308245</v>
      </c>
      <c r="C32">
        <v>-0.52826506084364089</v>
      </c>
      <c r="D32">
        <v>-0.10463880026429348</v>
      </c>
      <c r="E32">
        <v>6.9803998025335157E-2</v>
      </c>
      <c r="F32">
        <v>-0.63415385094900034</v>
      </c>
      <c r="G32">
        <v>0.17275750083919855</v>
      </c>
      <c r="I32" s="16"/>
      <c r="J32" s="17" t="s">
        <v>264</v>
      </c>
      <c r="K32" s="33">
        <f t="shared" ref="K32:K37" si="2">M23/$B$9</f>
        <v>0.57840416760248403</v>
      </c>
      <c r="L32" s="30">
        <f>SUM($K$32:K32)</f>
        <v>0.57840416760248403</v>
      </c>
      <c r="M32" s="29"/>
      <c r="N32" s="29"/>
    </row>
    <row r="33" spans="1:15">
      <c r="A33" s="12" t="s">
        <v>11</v>
      </c>
      <c r="B33">
        <v>2.0458895640791175</v>
      </c>
      <c r="C33">
        <v>-0.55248066438982857</v>
      </c>
      <c r="D33">
        <v>-0.16159078782957303</v>
      </c>
      <c r="E33">
        <v>5.7577772788536374E-2</v>
      </c>
      <c r="F33">
        <v>8.397754643926536E-2</v>
      </c>
      <c r="G33">
        <v>0.19208946356202014</v>
      </c>
      <c r="I33" s="19"/>
      <c r="J33" s="20" t="s">
        <v>265</v>
      </c>
      <c r="K33" s="34">
        <f t="shared" si="2"/>
        <v>0.24046123913088407</v>
      </c>
      <c r="L33" s="31">
        <f>SUM($K$32:K33)</f>
        <v>0.81886540673336805</v>
      </c>
      <c r="M33" s="18" t="s">
        <v>277</v>
      </c>
      <c r="N33" s="29"/>
    </row>
    <row r="34" spans="1:15">
      <c r="A34" s="12" t="s">
        <v>12</v>
      </c>
      <c r="B34">
        <v>-3.6287964037703346E-2</v>
      </c>
      <c r="C34">
        <v>-0.46717617405447914</v>
      </c>
      <c r="D34">
        <v>-0.20227537527559858</v>
      </c>
      <c r="E34">
        <v>-0.48942674036535433</v>
      </c>
      <c r="F34">
        <v>0.40302335508978121</v>
      </c>
      <c r="G34">
        <v>0.22759276588074073</v>
      </c>
      <c r="J34" s="13" t="s">
        <v>266</v>
      </c>
      <c r="K34" s="28">
        <f t="shared" si="2"/>
        <v>9.3433174226054294E-2</v>
      </c>
      <c r="L34" s="32">
        <f>SUM($K$32:K34)</f>
        <v>0.9122985809594224</v>
      </c>
      <c r="M34" s="29"/>
      <c r="N34" s="29"/>
    </row>
    <row r="35" spans="1:15">
      <c r="A35" s="12" t="s">
        <v>13</v>
      </c>
      <c r="B35">
        <v>2.9777267674339236</v>
      </c>
      <c r="C35">
        <v>-0.59441770901595592</v>
      </c>
      <c r="D35">
        <v>-6.3811325215205883E-3</v>
      </c>
      <c r="E35">
        <v>0.98602877479054263</v>
      </c>
      <c r="F35">
        <v>-0.10579234519243141</v>
      </c>
      <c r="G35">
        <v>4.9313047601610427E-2</v>
      </c>
      <c r="J35" s="13" t="s">
        <v>267</v>
      </c>
      <c r="K35" s="28">
        <f t="shared" si="2"/>
        <v>5.1805004872099061E-2</v>
      </c>
      <c r="L35" s="32">
        <f>SUM($K$32:K35)</f>
        <v>0.96410358583152145</v>
      </c>
      <c r="M35" s="28"/>
      <c r="N35" s="28"/>
    </row>
    <row r="36" spans="1:15">
      <c r="A36" s="12" t="s">
        <v>14</v>
      </c>
      <c r="B36">
        <v>8.6680214328685376E-2</v>
      </c>
      <c r="C36">
        <v>-0.41128383544137276</v>
      </c>
      <c r="D36">
        <v>-5.0105653428197276E-2</v>
      </c>
      <c r="E36">
        <v>-0.140151364240795</v>
      </c>
      <c r="F36">
        <v>-5.5127980047814322E-2</v>
      </c>
      <c r="G36">
        <v>-1.628854778933489E-2</v>
      </c>
      <c r="J36" s="13" t="s">
        <v>268</v>
      </c>
      <c r="K36" s="28">
        <f t="shared" si="2"/>
        <v>2.5872248764157623E-2</v>
      </c>
      <c r="L36" s="32">
        <f>SUM($K$32:K36)</f>
        <v>0.98997583459567906</v>
      </c>
      <c r="M36" s="28"/>
      <c r="N36" s="28"/>
    </row>
    <row r="37" spans="1:15">
      <c r="A37" s="12" t="s">
        <v>15</v>
      </c>
      <c r="B37">
        <v>-0.85361616790264994</v>
      </c>
      <c r="C37">
        <v>-0.41090863877561096</v>
      </c>
      <c r="D37">
        <v>-0.20591158964887907</v>
      </c>
      <c r="E37">
        <v>-0.95235789051198994</v>
      </c>
      <c r="F37">
        <v>-0.11308774532089083</v>
      </c>
      <c r="G37">
        <v>-0.28591822609230799</v>
      </c>
      <c r="J37" s="13" t="s">
        <v>269</v>
      </c>
      <c r="K37" s="28">
        <f t="shared" si="2"/>
        <v>1.0024165404320839E-2</v>
      </c>
      <c r="L37" s="32">
        <f>SUM($K$32:K37)</f>
        <v>0.99999999999999989</v>
      </c>
      <c r="M37" s="28"/>
      <c r="N37" s="28"/>
    </row>
    <row r="38" spans="1:15">
      <c r="A38" s="12" t="s">
        <v>16</v>
      </c>
      <c r="B38">
        <v>-1.6735356696780856</v>
      </c>
      <c r="C38">
        <v>-0.35492075887208729</v>
      </c>
      <c r="D38">
        <v>0.38552933463531242</v>
      </c>
      <c r="E38">
        <v>1.4299529769690398</v>
      </c>
      <c r="F38">
        <v>-1.9225054554245546</v>
      </c>
      <c r="G38">
        <v>0.33043738203200351</v>
      </c>
    </row>
    <row r="39" spans="1:15" ht="15.75" thickBot="1">
      <c r="A39" s="12" t="s">
        <v>17</v>
      </c>
      <c r="B39">
        <v>-0.79462364293407972</v>
      </c>
      <c r="C39">
        <v>-0.40925056609901073</v>
      </c>
      <c r="D39">
        <v>-6.1650260891318448E-2</v>
      </c>
      <c r="E39">
        <v>-0.20562375428013324</v>
      </c>
      <c r="F39">
        <v>-0.2934753796507108</v>
      </c>
      <c r="G39">
        <v>0.24911894492437137</v>
      </c>
      <c r="I39" s="59" t="s">
        <v>278</v>
      </c>
      <c r="J39" s="59"/>
      <c r="K39" s="59"/>
      <c r="L39" s="59"/>
      <c r="M39" s="59"/>
      <c r="N39" s="59"/>
    </row>
    <row r="40" spans="1:15">
      <c r="A40" s="12" t="s">
        <v>18</v>
      </c>
      <c r="B40">
        <v>-2.2274693215242616</v>
      </c>
      <c r="C40">
        <v>-0.37891255944792523</v>
      </c>
      <c r="D40">
        <v>-6.9313358749159337E-2</v>
      </c>
      <c r="E40">
        <v>-0.26172470917367141</v>
      </c>
      <c r="F40">
        <v>0.38823239981266044</v>
      </c>
      <c r="G40">
        <v>0.12220096577316986</v>
      </c>
      <c r="I40" s="4"/>
      <c r="J40" s="22" t="s">
        <v>264</v>
      </c>
      <c r="K40" s="22" t="s">
        <v>265</v>
      </c>
      <c r="L40" s="22" t="s">
        <v>266</v>
      </c>
      <c r="M40" s="22" t="s">
        <v>267</v>
      </c>
      <c r="N40" s="22" t="s">
        <v>268</v>
      </c>
      <c r="O40" s="22" t="s">
        <v>269</v>
      </c>
    </row>
    <row r="41" spans="1:15">
      <c r="A41" s="12" t="s">
        <v>19</v>
      </c>
      <c r="B41">
        <v>-0.23489865762489476</v>
      </c>
      <c r="C41">
        <v>-0.39035661165766511</v>
      </c>
      <c r="D41">
        <v>-0.10725653465132387</v>
      </c>
      <c r="E41">
        <v>-0.44310958701199676</v>
      </c>
      <c r="F41">
        <v>0.39962187270300381</v>
      </c>
      <c r="G41">
        <v>-0.16309748055409182</v>
      </c>
      <c r="I41" t="s">
        <v>264</v>
      </c>
      <c r="J41" s="2">
        <f>VARP(PCA!$B$22:$B$190)</f>
        <v>3.4498899464101043</v>
      </c>
      <c r="K41" s="2"/>
      <c r="L41" s="2"/>
      <c r="M41" s="2"/>
      <c r="N41" s="2"/>
      <c r="O41" s="2"/>
    </row>
    <row r="42" spans="1:15">
      <c r="A42" s="12" t="s">
        <v>20</v>
      </c>
      <c r="B42">
        <v>-0.25250728606978151</v>
      </c>
      <c r="C42">
        <v>-0.43797136325490765</v>
      </c>
      <c r="D42">
        <v>-0.20564239762418535</v>
      </c>
      <c r="E42">
        <v>-0.81746066604554002</v>
      </c>
      <c r="F42">
        <v>-0.15921256250847488</v>
      </c>
      <c r="G42">
        <v>-0.33473272985493513</v>
      </c>
      <c r="I42" t="s">
        <v>265</v>
      </c>
      <c r="J42" s="2">
        <v>-1.1036536576155402E-16</v>
      </c>
      <c r="K42" s="2">
        <f>VARP(PCA!$C$22:$C$190)</f>
        <v>1.4342303493723811</v>
      </c>
      <c r="L42" s="2"/>
      <c r="M42" s="2"/>
      <c r="N42" s="2"/>
      <c r="O42" s="2"/>
    </row>
    <row r="43" spans="1:15">
      <c r="A43" s="12" t="s">
        <v>21</v>
      </c>
      <c r="B43">
        <v>-2.2376256328800661</v>
      </c>
      <c r="C43">
        <v>-0.36433864273711575</v>
      </c>
      <c r="D43">
        <v>6.7722964198945995E-2</v>
      </c>
      <c r="E43">
        <v>0.27622004033429143</v>
      </c>
      <c r="F43">
        <v>-6.3808156881595246E-2</v>
      </c>
      <c r="G43">
        <v>0.23953534134637747</v>
      </c>
      <c r="I43" t="s">
        <v>266</v>
      </c>
      <c r="J43" s="2">
        <v>-3.1532961646158293E-17</v>
      </c>
      <c r="K43" s="2">
        <v>-1.6817579544617755E-16</v>
      </c>
      <c r="L43" s="2">
        <f>VARP(PCA!$D$22:$D$190)</f>
        <v>0.55728189124179539</v>
      </c>
      <c r="M43" s="2"/>
      <c r="N43" s="2"/>
      <c r="O43" s="2"/>
    </row>
    <row r="44" spans="1:15">
      <c r="A44" s="12" t="s">
        <v>22</v>
      </c>
      <c r="B44">
        <v>-2.0197595887532298</v>
      </c>
      <c r="C44">
        <v>-0.36347917968625082</v>
      </c>
      <c r="D44">
        <v>0.21373279890302788</v>
      </c>
      <c r="E44">
        <v>0.71173713216300805</v>
      </c>
      <c r="F44">
        <v>-0.92205092117847276</v>
      </c>
      <c r="G44">
        <v>-0.74907394963622798</v>
      </c>
      <c r="I44" t="s">
        <v>267</v>
      </c>
      <c r="J44" s="2">
        <v>-3.2584060367696901E-16</v>
      </c>
      <c r="K44" s="2">
        <v>7.0949163703856162E-17</v>
      </c>
      <c r="L44" s="2">
        <v>-1.90511643278873E-17</v>
      </c>
      <c r="M44" s="2">
        <f>VARP(PCA!$E$22:$E$190)</f>
        <v>0.30899079829039133</v>
      </c>
      <c r="N44" s="2"/>
      <c r="O44" s="2"/>
    </row>
    <row r="45" spans="1:15">
      <c r="A45" s="12" t="s">
        <v>23</v>
      </c>
      <c r="B45">
        <v>1.8700015831629704</v>
      </c>
      <c r="C45">
        <v>-0.52953566971078392</v>
      </c>
      <c r="D45">
        <v>-0.15456317607220366</v>
      </c>
      <c r="E45">
        <v>-7.4883671910965566E-2</v>
      </c>
      <c r="F45">
        <v>-0.28138835441443022</v>
      </c>
      <c r="G45">
        <v>9.1244874197936865E-2</v>
      </c>
      <c r="I45" t="s">
        <v>268</v>
      </c>
      <c r="J45" s="2">
        <v>3.2128310531404772E-17</v>
      </c>
      <c r="K45" s="2">
        <v>-3.2518366697600739E-17</v>
      </c>
      <c r="L45" s="2">
        <v>4.8941784221641513E-17</v>
      </c>
      <c r="M45" s="2">
        <v>1.9909287893518433E-16</v>
      </c>
      <c r="N45" s="2">
        <f>VARP(PCA!$F$22:$F$190)</f>
        <v>0.15431495120870403</v>
      </c>
      <c r="O45" s="2"/>
    </row>
    <row r="46" spans="1:15" ht="15.75" thickBot="1">
      <c r="A46" s="12" t="s">
        <v>24</v>
      </c>
      <c r="B46">
        <v>-2.0068461966293758</v>
      </c>
      <c r="C46">
        <v>-0.37278890162201572</v>
      </c>
      <c r="D46">
        <v>-9.1519861258926624E-2</v>
      </c>
      <c r="E46">
        <v>-0.4480842021841257</v>
      </c>
      <c r="F46">
        <v>8.8694691460738162E-2</v>
      </c>
      <c r="G46">
        <v>0.10164672188780666</v>
      </c>
      <c r="I46" s="3" t="s">
        <v>269</v>
      </c>
      <c r="J46" s="21">
        <v>-2.2572345045041644E-15</v>
      </c>
      <c r="K46" s="21">
        <v>2.6277468038465243E-18</v>
      </c>
      <c r="L46" s="21">
        <v>9.5255821639436514E-17</v>
      </c>
      <c r="M46" s="21">
        <v>3.9662553320558477E-16</v>
      </c>
      <c r="N46" s="21">
        <v>-1.0680353708602768E-16</v>
      </c>
      <c r="O46" s="21">
        <f>VARP(PCA!$G$22:$G$190)</f>
        <v>5.9789104896777065E-2</v>
      </c>
    </row>
    <row r="47" spans="1:15">
      <c r="A47" s="12" t="s">
        <v>25</v>
      </c>
      <c r="B47">
        <v>0.66111156462768084</v>
      </c>
      <c r="C47">
        <v>-0.47563086476554611</v>
      </c>
      <c r="D47">
        <v>-0.16028858081815936</v>
      </c>
      <c r="E47">
        <v>-0.40733387433057128</v>
      </c>
      <c r="F47">
        <v>-0.4351334503563381</v>
      </c>
      <c r="G47">
        <v>-4.4354329032186154E-2</v>
      </c>
    </row>
    <row r="48" spans="1:15">
      <c r="A48" s="12" t="s">
        <v>26</v>
      </c>
      <c r="B48">
        <v>1.4772460638225151</v>
      </c>
      <c r="C48">
        <v>-0.52142023537970394</v>
      </c>
      <c r="D48">
        <v>-0.10131890767156192</v>
      </c>
      <c r="E48">
        <v>0.16706362518793039</v>
      </c>
      <c r="F48">
        <v>-0.15118382120493634</v>
      </c>
      <c r="G48">
        <v>-9.3087153335003725E-2</v>
      </c>
      <c r="I48" s="58" t="s">
        <v>279</v>
      </c>
      <c r="J48" s="58"/>
      <c r="K48" s="58"/>
      <c r="L48" s="58"/>
      <c r="M48" s="58"/>
      <c r="N48" s="58"/>
    </row>
    <row r="49" spans="1:14">
      <c r="A49" s="12" t="s">
        <v>27</v>
      </c>
      <c r="B49">
        <v>1.8779711689474683</v>
      </c>
      <c r="C49">
        <v>-0.5362529866340825</v>
      </c>
      <c r="D49">
        <v>-5.9240821339608854E-2</v>
      </c>
      <c r="E49">
        <v>0.50410918051369835</v>
      </c>
      <c r="F49">
        <v>0.2585957942836381</v>
      </c>
      <c r="G49">
        <v>-0.33221411160815928</v>
      </c>
      <c r="L49" s="15"/>
      <c r="M49" s="9" t="s">
        <v>280</v>
      </c>
      <c r="N49" s="9" t="s">
        <v>281</v>
      </c>
    </row>
    <row r="50" spans="1:14">
      <c r="A50" s="12" t="s">
        <v>28</v>
      </c>
      <c r="B50">
        <v>0.89380092137714007</v>
      </c>
      <c r="C50">
        <v>-0.49245677345425365</v>
      </c>
      <c r="D50">
        <v>9.3888613813473548E-3</v>
      </c>
      <c r="E50">
        <v>0.52707182016371845</v>
      </c>
      <c r="F50">
        <v>-0.43315023383877499</v>
      </c>
      <c r="G50">
        <v>-3.0384495425986591E-2</v>
      </c>
      <c r="L50" s="13" t="s">
        <v>253</v>
      </c>
      <c r="M50" s="2">
        <f>CORREL(Data!$M2:$M170,B22:B190)</f>
        <v>0.10606853888525149</v>
      </c>
      <c r="N50" s="23">
        <f>CORREL(Data!$M2:$M170,C22:C190)</f>
        <v>0.84394598325058268</v>
      </c>
    </row>
    <row r="51" spans="1:14">
      <c r="A51" s="12" t="s">
        <v>29</v>
      </c>
      <c r="B51">
        <v>-0.94563115571113099</v>
      </c>
      <c r="C51">
        <v>-0.30489144202414076</v>
      </c>
      <c r="D51">
        <v>0.1675241982562323</v>
      </c>
      <c r="E51">
        <v>0.27672493674245341</v>
      </c>
      <c r="F51">
        <v>-1.1525024314306791</v>
      </c>
      <c r="G51">
        <v>0.32417791246215233</v>
      </c>
      <c r="L51" s="13" t="s">
        <v>254</v>
      </c>
      <c r="M51" s="2">
        <f>CORREL(Data!$N2:$N170,B22:B190)</f>
        <v>2.4694932509535241E-3</v>
      </c>
      <c r="N51" s="23">
        <f>CORREL(Data!$N2:$N170,C22:C190)</f>
        <v>0.85276337236624844</v>
      </c>
    </row>
    <row r="52" spans="1:14">
      <c r="A52" s="12" t="s">
        <v>30</v>
      </c>
      <c r="B52">
        <v>-3.3988142235771424</v>
      </c>
      <c r="C52">
        <v>-0.31811257392512871</v>
      </c>
      <c r="D52">
        <v>0.20954423781485945</v>
      </c>
      <c r="E52">
        <v>0.7609142700707221</v>
      </c>
      <c r="F52">
        <v>-3.2982948984205951E-2</v>
      </c>
      <c r="G52">
        <v>-4.4111080004537312E-2</v>
      </c>
      <c r="L52" s="13" t="s">
        <v>255</v>
      </c>
      <c r="M52" s="23">
        <f>CORREL(Data!$O2:$O170,B22:B190)</f>
        <v>-0.94172908532688582</v>
      </c>
      <c r="N52" s="2">
        <f>CORREL(Data!$O2:$O170,C22:C190)</f>
        <v>2.1259406729524866E-2</v>
      </c>
    </row>
    <row r="53" spans="1:14">
      <c r="A53" s="12" t="s">
        <v>31</v>
      </c>
      <c r="B53">
        <v>-1.9536869367810508</v>
      </c>
      <c r="C53">
        <v>-0.37702181090519044</v>
      </c>
      <c r="D53">
        <v>5.1242591903514212E-3</v>
      </c>
      <c r="E53">
        <v>3.1865431714402981E-2</v>
      </c>
      <c r="F53">
        <v>-1.4652411696902345E-2</v>
      </c>
      <c r="G53">
        <v>-0.16120352572738059</v>
      </c>
      <c r="L53" s="13" t="s">
        <v>256</v>
      </c>
      <c r="M53" s="23">
        <f>CORREL(Data!$P2:$P170,B22:B190)</f>
        <v>0.90349763702413821</v>
      </c>
      <c r="N53" s="2">
        <f>CORREL(Data!$P2:$P170,C22:C190)</f>
        <v>-4.7365051450306353E-2</v>
      </c>
    </row>
    <row r="54" spans="1:14">
      <c r="A54" s="12" t="s">
        <v>32</v>
      </c>
      <c r="B54">
        <v>2.65374782323536</v>
      </c>
      <c r="C54">
        <v>-0.56615669316158601</v>
      </c>
      <c r="D54">
        <v>1.4786167574657477E-2</v>
      </c>
      <c r="E54">
        <v>0.97761378735506244</v>
      </c>
      <c r="F54">
        <v>-0.31968402134941054</v>
      </c>
      <c r="G54">
        <v>8.0730015198345384E-2</v>
      </c>
      <c r="L54" s="13" t="s">
        <v>257</v>
      </c>
      <c r="M54" s="23">
        <f>CORREL(Data!$Q2:$Q170,B22:B190)</f>
        <v>0.94403886428632355</v>
      </c>
      <c r="N54" s="2">
        <f>CORREL(Data!$Q2:$Q170,C22:C190)</f>
        <v>-2.4060325317506483E-2</v>
      </c>
    </row>
    <row r="55" spans="1:14">
      <c r="A55" s="12" t="s">
        <v>33</v>
      </c>
      <c r="B55">
        <v>-1.1318941082835972</v>
      </c>
      <c r="C55">
        <v>-0.18260379869927745</v>
      </c>
      <c r="D55">
        <v>0.32762800020464217</v>
      </c>
      <c r="E55">
        <v>0.29813750433044051</v>
      </c>
      <c r="F55">
        <v>-1.398406506252843</v>
      </c>
      <c r="G55">
        <v>-0.71909713080330473</v>
      </c>
      <c r="L55" s="13" t="s">
        <v>258</v>
      </c>
      <c r="M55" s="23">
        <f>CORREL(Data!$R2:$R170,B22:B190)</f>
        <v>0.92994480735950025</v>
      </c>
      <c r="N55" s="2">
        <f>CORREL(Data!$R2:$R170,C22:C190)</f>
        <v>-6.5523402915939645E-3</v>
      </c>
    </row>
    <row r="56" spans="1:14">
      <c r="A56" s="12" t="s">
        <v>34</v>
      </c>
      <c r="B56">
        <v>2.1054954275647715</v>
      </c>
      <c r="C56">
        <v>-0.54372482652150145</v>
      </c>
      <c r="D56">
        <v>-0.12965455866018616</v>
      </c>
      <c r="E56">
        <v>0.23501613132184435</v>
      </c>
      <c r="F56">
        <v>0.1402615084785559</v>
      </c>
      <c r="G56">
        <v>-5.0144195218011361E-2</v>
      </c>
    </row>
    <row r="57" spans="1:14">
      <c r="A57" s="12" t="s">
        <v>35</v>
      </c>
      <c r="B57">
        <v>1.132452671127004</v>
      </c>
      <c r="C57">
        <v>-0.50112164545898941</v>
      </c>
      <c r="D57">
        <v>-0.1506551277837585</v>
      </c>
      <c r="E57">
        <v>-7.4285218229319161E-2</v>
      </c>
      <c r="F57">
        <v>0.21663922278378922</v>
      </c>
      <c r="G57">
        <v>-0.14681030745269893</v>
      </c>
    </row>
    <row r="58" spans="1:14">
      <c r="A58" s="12" t="s">
        <v>36</v>
      </c>
      <c r="B58">
        <v>-2.8237436863314769</v>
      </c>
      <c r="C58">
        <v>-0.33266235753480028</v>
      </c>
      <c r="D58">
        <v>0.15761475973275527</v>
      </c>
      <c r="E58">
        <v>0.47435793560765255</v>
      </c>
      <c r="F58">
        <v>-0.26774186730437255</v>
      </c>
      <c r="G58">
        <v>-0.72112376557527336</v>
      </c>
    </row>
    <row r="59" spans="1:14">
      <c r="A59" s="12" t="s">
        <v>37</v>
      </c>
      <c r="B59">
        <v>1.5795044744510325</v>
      </c>
      <c r="C59">
        <v>-0.51452575121187716</v>
      </c>
      <c r="D59">
        <v>-3.7989872303629393E-2</v>
      </c>
      <c r="E59">
        <v>0.54959408611135485</v>
      </c>
      <c r="F59">
        <v>0.31603320817020042</v>
      </c>
      <c r="G59">
        <v>-0.39405018855074803</v>
      </c>
    </row>
    <row r="60" spans="1:14">
      <c r="A60" s="12" t="s">
        <v>38</v>
      </c>
      <c r="B60">
        <v>-0.82724972956220344</v>
      </c>
      <c r="C60">
        <v>-0.10959945173112015</v>
      </c>
      <c r="D60">
        <v>0.22021153773574748</v>
      </c>
      <c r="E60">
        <v>-0.41204290243385411</v>
      </c>
      <c r="F60">
        <v>-0.6765134800971192</v>
      </c>
      <c r="G60">
        <v>-0.37952325642682894</v>
      </c>
    </row>
    <row r="61" spans="1:14">
      <c r="A61" s="12" t="s">
        <v>39</v>
      </c>
      <c r="B61">
        <v>0.26266844955401614</v>
      </c>
      <c r="C61">
        <v>-0.45451859077999063</v>
      </c>
      <c r="D61">
        <v>-0.18904318115760257</v>
      </c>
      <c r="E61">
        <v>-0.50992245882866116</v>
      </c>
      <c r="F61">
        <v>-0.13355441922209688</v>
      </c>
      <c r="G61">
        <v>6.1417778699778422E-2</v>
      </c>
    </row>
    <row r="62" spans="1:14">
      <c r="A62" s="12" t="s">
        <v>40</v>
      </c>
      <c r="B62">
        <v>-0.48380598045445034</v>
      </c>
      <c r="C62">
        <v>0.1338565194826925</v>
      </c>
      <c r="D62">
        <v>0.37566961213971134</v>
      </c>
      <c r="E62">
        <v>-0.72905110162153097</v>
      </c>
      <c r="F62">
        <v>-0.15753993457055637</v>
      </c>
      <c r="G62">
        <v>-0.12202392098842982</v>
      </c>
    </row>
    <row r="63" spans="1:14">
      <c r="A63" s="12" t="s">
        <v>41</v>
      </c>
      <c r="B63">
        <v>1.4891616742284206</v>
      </c>
      <c r="C63">
        <v>-0.48672925210159346</v>
      </c>
      <c r="D63">
        <v>-8.2219653412693466E-2</v>
      </c>
      <c r="E63">
        <v>1.4996438670085821E-2</v>
      </c>
      <c r="F63">
        <v>-1.0014176253095513</v>
      </c>
      <c r="G63">
        <v>0.14563987846413878</v>
      </c>
    </row>
    <row r="64" spans="1:14">
      <c r="A64" s="12" t="s">
        <v>42</v>
      </c>
      <c r="B64">
        <v>1.6019763617468541</v>
      </c>
      <c r="C64">
        <v>-0.41056731336612196</v>
      </c>
      <c r="D64">
        <v>5.6419766115763603E-2</v>
      </c>
      <c r="E64">
        <v>0.43343685122901449</v>
      </c>
      <c r="F64">
        <v>-0.17547798356604594</v>
      </c>
      <c r="G64">
        <v>-0.26678111601935972</v>
      </c>
    </row>
    <row r="65" spans="1:7">
      <c r="A65" s="12" t="s">
        <v>43</v>
      </c>
      <c r="B65">
        <v>0.53547857677678934</v>
      </c>
      <c r="C65">
        <v>-0.47369991701389663</v>
      </c>
      <c r="D65">
        <v>-0.18302570247110986</v>
      </c>
      <c r="E65">
        <v>-0.26068945541653815</v>
      </c>
      <c r="F65">
        <v>0.45667204388864813</v>
      </c>
      <c r="G65">
        <v>-7.0265219965072068E-2</v>
      </c>
    </row>
    <row r="66" spans="1:7">
      <c r="A66" s="12" t="s">
        <v>44</v>
      </c>
      <c r="B66">
        <v>1.5282262722130531</v>
      </c>
      <c r="C66">
        <v>-0.49912502532978203</v>
      </c>
      <c r="D66">
        <v>-6.5293300989759342E-2</v>
      </c>
      <c r="E66">
        <v>0.32863282517140102</v>
      </c>
      <c r="F66">
        <v>4.1324874645423892E-2</v>
      </c>
      <c r="G66">
        <v>-0.39234877169838983</v>
      </c>
    </row>
    <row r="67" spans="1:7">
      <c r="A67" s="12" t="s">
        <v>45</v>
      </c>
      <c r="B67">
        <v>0.90708102337366037</v>
      </c>
      <c r="C67">
        <v>-0.48400803506624712</v>
      </c>
      <c r="D67">
        <v>-0.19820418212082236</v>
      </c>
      <c r="E67">
        <v>-0.28856834996467479</v>
      </c>
      <c r="F67">
        <v>0.2964487838014922</v>
      </c>
      <c r="G67">
        <v>0.13869471497409847</v>
      </c>
    </row>
    <row r="68" spans="1:7">
      <c r="A68" s="12" t="s">
        <v>46</v>
      </c>
      <c r="B68">
        <v>1.2398088884280829</v>
      </c>
      <c r="C68">
        <v>-0.43903868577192684</v>
      </c>
      <c r="D68">
        <v>-0.11148085563918393</v>
      </c>
      <c r="E68">
        <v>-0.16416007560405113</v>
      </c>
      <c r="F68">
        <v>2.1483749483480752E-3</v>
      </c>
      <c r="G68">
        <v>-4.1305949659600494E-2</v>
      </c>
    </row>
    <row r="69" spans="1:7">
      <c r="A69" s="12" t="s">
        <v>47</v>
      </c>
      <c r="B69">
        <v>-2.2701582682974313</v>
      </c>
      <c r="C69">
        <v>1.6518421809704378E-2</v>
      </c>
      <c r="D69">
        <v>0.41730053450379889</v>
      </c>
      <c r="E69">
        <v>0.18480146453175755</v>
      </c>
      <c r="F69">
        <v>-0.17700366811819257</v>
      </c>
      <c r="G69">
        <v>0.33098918480973927</v>
      </c>
    </row>
    <row r="70" spans="1:7">
      <c r="A70" s="12" t="s">
        <v>48</v>
      </c>
      <c r="B70">
        <v>3.6159362853144805E-2</v>
      </c>
      <c r="C70">
        <v>-0.45303931598234676</v>
      </c>
      <c r="D70">
        <v>-0.17119845146842119</v>
      </c>
      <c r="E70">
        <v>-0.31196154567208423</v>
      </c>
      <c r="F70">
        <v>0.55869475588191697</v>
      </c>
      <c r="G70">
        <v>-0.5071919580990617</v>
      </c>
    </row>
    <row r="71" spans="1:7">
      <c r="A71" s="12" t="s">
        <v>49</v>
      </c>
      <c r="B71">
        <v>1.0227791669884407</v>
      </c>
      <c r="C71">
        <v>-0.46233774072403611</v>
      </c>
      <c r="D71">
        <v>-0.13171225400207232</v>
      </c>
      <c r="E71">
        <v>-0.12808959206804435</v>
      </c>
      <c r="F71">
        <v>-0.10472513970093617</v>
      </c>
      <c r="G71">
        <v>0.18175894462400616</v>
      </c>
    </row>
    <row r="72" spans="1:7">
      <c r="A72" s="12" t="s">
        <v>50</v>
      </c>
      <c r="B72">
        <v>1.0706929446357631</v>
      </c>
      <c r="C72">
        <v>-0.48373025903061878</v>
      </c>
      <c r="D72">
        <v>-0.17400293394676528</v>
      </c>
      <c r="E72">
        <v>-0.17485414854695799</v>
      </c>
      <c r="F72">
        <v>0.36313732659160147</v>
      </c>
      <c r="G72">
        <v>-0.22787924391012532</v>
      </c>
    </row>
    <row r="73" spans="1:7">
      <c r="A73" s="12" t="s">
        <v>51</v>
      </c>
      <c r="B73">
        <v>-2.8903891429609496</v>
      </c>
      <c r="C73">
        <v>-0.31178750549987128</v>
      </c>
      <c r="D73">
        <v>1.0882231723388647E-2</v>
      </c>
      <c r="E73">
        <v>1.2943015940167224E-2</v>
      </c>
      <c r="F73">
        <v>0.71437055542007122</v>
      </c>
      <c r="G73">
        <v>-5.8706249182876369E-2</v>
      </c>
    </row>
    <row r="74" spans="1:7">
      <c r="A74" s="12" t="s">
        <v>52</v>
      </c>
      <c r="B74">
        <v>-1.8505238683507352</v>
      </c>
      <c r="C74">
        <v>-0.23945450424849407</v>
      </c>
      <c r="D74">
        <v>0.1801706777505086</v>
      </c>
      <c r="E74">
        <v>0.22615081391815939</v>
      </c>
      <c r="F74">
        <v>-0.54425551984686793</v>
      </c>
      <c r="G74">
        <v>-1.0838541416132719E-2</v>
      </c>
    </row>
    <row r="75" spans="1:7">
      <c r="A75" s="12" t="s">
        <v>53</v>
      </c>
      <c r="B75">
        <v>0.5496011485707295</v>
      </c>
      <c r="C75">
        <v>-0.45537726774244025</v>
      </c>
      <c r="D75">
        <v>-0.13143415988687926</v>
      </c>
      <c r="E75">
        <v>-0.20727560366634692</v>
      </c>
      <c r="F75">
        <v>-0.42135388890011055</v>
      </c>
      <c r="G75">
        <v>2.0015492807665375E-2</v>
      </c>
    </row>
    <row r="76" spans="1:7">
      <c r="A76" s="12" t="s">
        <v>54</v>
      </c>
      <c r="B76">
        <v>2.4424355371334929</v>
      </c>
      <c r="C76">
        <v>-0.46743355511386703</v>
      </c>
      <c r="D76">
        <v>-2.9902133926518179E-2</v>
      </c>
      <c r="E76">
        <v>0.53251921341690522</v>
      </c>
      <c r="F76">
        <v>0.44056435874557276</v>
      </c>
      <c r="G76">
        <v>8.6367749921854642E-2</v>
      </c>
    </row>
    <row r="77" spans="1:7">
      <c r="A77" s="12" t="s">
        <v>55</v>
      </c>
      <c r="B77">
        <v>1.624234875127355</v>
      </c>
      <c r="C77">
        <v>-0.49733956429222681</v>
      </c>
      <c r="D77">
        <v>-0.12216502536184023</v>
      </c>
      <c r="E77">
        <v>0.12732785604780211</v>
      </c>
      <c r="F77">
        <v>6.7338390806450099E-2</v>
      </c>
      <c r="G77">
        <v>-0.17130002639060338</v>
      </c>
    </row>
    <row r="78" spans="1:7">
      <c r="A78" s="12" t="s">
        <v>56</v>
      </c>
      <c r="B78">
        <v>0.11293504935306822</v>
      </c>
      <c r="C78">
        <v>-0.42309239029482221</v>
      </c>
      <c r="D78">
        <v>-0.20433187952786366</v>
      </c>
      <c r="E78">
        <v>-0.61546387352138732</v>
      </c>
      <c r="F78">
        <v>0.10220289830887123</v>
      </c>
      <c r="G78">
        <v>9.0820248337615886E-3</v>
      </c>
    </row>
    <row r="79" spans="1:7">
      <c r="A79" s="12" t="s">
        <v>57</v>
      </c>
      <c r="B79">
        <v>-3.7904147127532166</v>
      </c>
      <c r="C79">
        <v>-7.995704491078176E-2</v>
      </c>
      <c r="D79">
        <v>0.42333148016832239</v>
      </c>
      <c r="E79">
        <v>0.85069851920454487</v>
      </c>
      <c r="F79">
        <v>0.27222845143107732</v>
      </c>
      <c r="G79">
        <v>0.23273115610474754</v>
      </c>
    </row>
    <row r="80" spans="1:7">
      <c r="A80" s="12" t="s">
        <v>58</v>
      </c>
      <c r="B80">
        <v>2.321121295350566</v>
      </c>
      <c r="C80">
        <v>-0.51888708054822741</v>
      </c>
      <c r="D80">
        <v>-0.10182424545293435</v>
      </c>
      <c r="E80">
        <v>0.34213069010255476</v>
      </c>
      <c r="F80">
        <v>-6.1195390082348977E-2</v>
      </c>
      <c r="G80">
        <v>9.220094855754854E-2</v>
      </c>
    </row>
    <row r="81" spans="1:7">
      <c r="A81" s="12" t="s">
        <v>59</v>
      </c>
      <c r="B81">
        <v>1.1108457530342184</v>
      </c>
      <c r="C81">
        <v>-0.46628887279694281</v>
      </c>
      <c r="D81">
        <v>-0.24569612310155214</v>
      </c>
      <c r="E81">
        <v>-0.59808623166274189</v>
      </c>
      <c r="F81">
        <v>-1.3057853738148717E-2</v>
      </c>
      <c r="G81">
        <v>0.19889912595063722</v>
      </c>
    </row>
    <row r="82" spans="1:7">
      <c r="A82" s="12" t="s">
        <v>60</v>
      </c>
      <c r="B82">
        <v>2.901784342041279</v>
      </c>
      <c r="C82">
        <v>-0.46777802952121011</v>
      </c>
      <c r="D82">
        <v>4.6208527809188896E-2</v>
      </c>
      <c r="E82">
        <v>0.89667919209371105</v>
      </c>
      <c r="F82">
        <v>0.25778297987035126</v>
      </c>
      <c r="G82">
        <v>6.514296941249309E-2</v>
      </c>
    </row>
    <row r="83" spans="1:7">
      <c r="A83" s="12" t="s">
        <v>61</v>
      </c>
      <c r="B83">
        <v>-0.96697782535387522</v>
      </c>
      <c r="C83">
        <v>-0.21201763128250917</v>
      </c>
      <c r="D83">
        <v>0.11025265335944805</v>
      </c>
      <c r="E83">
        <v>-0.24556011126870181</v>
      </c>
      <c r="F83">
        <v>-0.85126427553594053</v>
      </c>
      <c r="G83">
        <v>0.31967391961985153</v>
      </c>
    </row>
    <row r="84" spans="1:7">
      <c r="A84" s="12" t="s">
        <v>62</v>
      </c>
      <c r="B84">
        <v>2.6032194873887256</v>
      </c>
      <c r="C84">
        <v>-0.54759225550696489</v>
      </c>
      <c r="D84">
        <v>-0.13027851709243365</v>
      </c>
      <c r="E84">
        <v>0.36664426862762878</v>
      </c>
      <c r="F84">
        <v>-0.21876958748156294</v>
      </c>
      <c r="G84">
        <v>0.24951397735915748</v>
      </c>
    </row>
    <row r="85" spans="1:7">
      <c r="A85" s="12" t="s">
        <v>63</v>
      </c>
      <c r="B85">
        <v>2.600049361303312</v>
      </c>
      <c r="C85">
        <v>-0.45447948216789003</v>
      </c>
      <c r="D85">
        <v>8.8710057330174397E-3</v>
      </c>
      <c r="E85">
        <v>0.67387726641897761</v>
      </c>
      <c r="F85">
        <v>0.35780903841794298</v>
      </c>
      <c r="G85">
        <v>-4.7234756573277498E-2</v>
      </c>
    </row>
    <row r="86" spans="1:7">
      <c r="A86" s="12" t="s">
        <v>64</v>
      </c>
      <c r="B86">
        <v>-2.1101859037952453</v>
      </c>
      <c r="C86">
        <v>-0.33044184184296405</v>
      </c>
      <c r="D86">
        <v>-0.1723635369874397</v>
      </c>
      <c r="E86">
        <v>-0.79256891155639098</v>
      </c>
      <c r="F86">
        <v>0.73122211332979592</v>
      </c>
      <c r="G86">
        <v>-0.46148439248976053</v>
      </c>
    </row>
    <row r="87" spans="1:7">
      <c r="A87" s="12" t="s">
        <v>65</v>
      </c>
      <c r="B87">
        <v>1.9624079151501079</v>
      </c>
      <c r="C87">
        <v>-0.52113557367835617</v>
      </c>
      <c r="D87">
        <v>-4.5938927599726301E-2</v>
      </c>
      <c r="E87">
        <v>0.71866497633622139</v>
      </c>
      <c r="F87">
        <v>0.33894449809205163</v>
      </c>
      <c r="G87">
        <v>-0.28685572576883001</v>
      </c>
    </row>
    <row r="88" spans="1:7">
      <c r="A88" s="12" t="s">
        <v>66</v>
      </c>
      <c r="B88">
        <v>-0.73504530793837308</v>
      </c>
      <c r="C88">
        <v>-0.34627123080487615</v>
      </c>
      <c r="D88">
        <v>-0.14123128772405466</v>
      </c>
      <c r="E88">
        <v>-0.58138268350839528</v>
      </c>
      <c r="F88">
        <v>0.39348960237737729</v>
      </c>
      <c r="G88">
        <v>-2.9282763669270545E-2</v>
      </c>
    </row>
    <row r="89" spans="1:7">
      <c r="A89" s="12" t="s">
        <v>67</v>
      </c>
      <c r="B89">
        <v>2.5942620423240168</v>
      </c>
      <c r="C89">
        <v>-0.54798351988133864</v>
      </c>
      <c r="D89">
        <v>-5.6578663732931467E-2</v>
      </c>
      <c r="E89">
        <v>0.82172948668283263</v>
      </c>
      <c r="F89">
        <v>0.3113609945260456</v>
      </c>
      <c r="G89">
        <v>-9.3091320312609416E-2</v>
      </c>
    </row>
    <row r="90" spans="1:7">
      <c r="A90" s="12" t="s">
        <v>68</v>
      </c>
      <c r="B90">
        <v>-0.40735433742415417</v>
      </c>
      <c r="C90">
        <v>-0.37284903049854762</v>
      </c>
      <c r="D90">
        <v>-0.28042850884450221</v>
      </c>
      <c r="E90">
        <v>-1.143507118765442</v>
      </c>
      <c r="F90">
        <v>0.18203016927539323</v>
      </c>
      <c r="G90">
        <v>0.16121042242502376</v>
      </c>
    </row>
    <row r="91" spans="1:7">
      <c r="A91" s="12" t="s">
        <v>69</v>
      </c>
      <c r="B91">
        <v>-3.999474054788664</v>
      </c>
      <c r="C91">
        <v>-0.26099757861351713</v>
      </c>
      <c r="D91">
        <v>0.26144396264160974</v>
      </c>
      <c r="E91">
        <v>1.0432699149021354</v>
      </c>
      <c r="F91">
        <v>0.1552646890606173</v>
      </c>
      <c r="G91">
        <v>0.37368596772787471</v>
      </c>
    </row>
    <row r="92" spans="1:7">
      <c r="A92" s="12" t="s">
        <v>70</v>
      </c>
      <c r="B92">
        <v>-2.5083602077358007</v>
      </c>
      <c r="C92">
        <v>-0.32338909494508922</v>
      </c>
      <c r="D92">
        <v>-1.7301320392015304E-2</v>
      </c>
      <c r="E92">
        <v>-5.2535156224914004E-2</v>
      </c>
      <c r="F92">
        <v>0.32796438639472569</v>
      </c>
      <c r="G92">
        <v>-8.9188468364156226E-2</v>
      </c>
    </row>
    <row r="93" spans="1:7">
      <c r="A93" s="12" t="s">
        <v>71</v>
      </c>
      <c r="B93">
        <v>0.41054311225402917</v>
      </c>
      <c r="C93">
        <v>-0.42793832185598296</v>
      </c>
      <c r="D93">
        <v>-0.17325533838390206</v>
      </c>
      <c r="E93">
        <v>-0.32539551009147211</v>
      </c>
      <c r="F93">
        <v>0.31030118931930262</v>
      </c>
      <c r="G93">
        <v>-0.10439712891065721</v>
      </c>
    </row>
    <row r="94" spans="1:7">
      <c r="A94" s="12" t="s">
        <v>72</v>
      </c>
      <c r="B94">
        <v>7.866411719224714E-2</v>
      </c>
      <c r="C94">
        <v>-0.42040394852495122</v>
      </c>
      <c r="D94">
        <v>-0.24547084885103942</v>
      </c>
      <c r="E94">
        <v>-0.83936061359304981</v>
      </c>
      <c r="F94">
        <v>-0.28222343169637021</v>
      </c>
      <c r="G94">
        <v>-0.11073245924088267</v>
      </c>
    </row>
    <row r="95" spans="1:7">
      <c r="A95" s="12" t="s">
        <v>73</v>
      </c>
      <c r="B95">
        <v>-1.1604197228444701</v>
      </c>
      <c r="C95">
        <v>-0.30111496527014386</v>
      </c>
      <c r="D95">
        <v>-9.5869742644273337E-2</v>
      </c>
      <c r="E95">
        <v>-0.60212772043628426</v>
      </c>
      <c r="F95">
        <v>2.5143712934885265E-3</v>
      </c>
      <c r="G95">
        <v>0.14601774359780356</v>
      </c>
    </row>
    <row r="96" spans="1:7">
      <c r="A96" s="12" t="s">
        <v>74</v>
      </c>
      <c r="B96">
        <v>0.6097074445482602</v>
      </c>
      <c r="C96">
        <v>0.19683975646212357</v>
      </c>
      <c r="D96">
        <v>0.38507890931332261</v>
      </c>
      <c r="E96">
        <v>-0.90954225074625616</v>
      </c>
      <c r="F96">
        <v>-0.72440761214582938</v>
      </c>
      <c r="G96">
        <v>0.21137331623557448</v>
      </c>
    </row>
    <row r="97" spans="1:7">
      <c r="A97" s="12" t="s">
        <v>75</v>
      </c>
      <c r="B97">
        <v>-5.4548219042995366E-2</v>
      </c>
      <c r="C97">
        <v>-0.28405946350620526</v>
      </c>
      <c r="D97">
        <v>-9.681168157722693E-2</v>
      </c>
      <c r="E97">
        <v>-0.71497588823848102</v>
      </c>
      <c r="F97">
        <v>-3.007229174080045E-2</v>
      </c>
      <c r="G97">
        <v>8.6041627368724227E-4</v>
      </c>
    </row>
    <row r="98" spans="1:7">
      <c r="A98" s="12" t="s">
        <v>76</v>
      </c>
      <c r="B98">
        <v>-1.3182593104644873</v>
      </c>
      <c r="C98">
        <v>-0.33062380826944693</v>
      </c>
      <c r="D98">
        <v>-9.7952748845033882E-2</v>
      </c>
      <c r="E98">
        <v>-0.35694799315281067</v>
      </c>
      <c r="F98">
        <v>0.23082233584130174</v>
      </c>
      <c r="G98">
        <v>0.32814988922831123</v>
      </c>
    </row>
    <row r="99" spans="1:7">
      <c r="A99" s="12" t="s">
        <v>77</v>
      </c>
      <c r="B99">
        <v>-1.6152047742357154</v>
      </c>
      <c r="C99">
        <v>-0.19609542504269248</v>
      </c>
      <c r="D99">
        <v>4.5909533793544205E-2</v>
      </c>
      <c r="E99">
        <v>-0.46099567556186249</v>
      </c>
      <c r="F99">
        <v>-0.21555307280446967</v>
      </c>
      <c r="G99">
        <v>-4.4607776989479098E-2</v>
      </c>
    </row>
    <row r="100" spans="1:7">
      <c r="A100" s="12" t="s">
        <v>78</v>
      </c>
      <c r="B100">
        <v>1.0510953853137277</v>
      </c>
      <c r="C100">
        <v>-0.4344655758033048</v>
      </c>
      <c r="D100">
        <v>-0.12880353242631692</v>
      </c>
      <c r="E100">
        <v>-9.1166629285018008E-2</v>
      </c>
      <c r="F100">
        <v>-6.8010931913447981E-2</v>
      </c>
      <c r="G100">
        <v>-0.12448175319784824</v>
      </c>
    </row>
    <row r="101" spans="1:7">
      <c r="A101" s="12" t="s">
        <v>79</v>
      </c>
      <c r="B101">
        <v>-0.26482765044578449</v>
      </c>
      <c r="C101">
        <v>-0.36921026236992988</v>
      </c>
      <c r="D101">
        <v>-0.26382538270427019</v>
      </c>
      <c r="E101">
        <v>-1.040827069945242</v>
      </c>
      <c r="F101">
        <v>-2.3887250629216927E-2</v>
      </c>
      <c r="G101">
        <v>5.8707123012851331E-2</v>
      </c>
    </row>
    <row r="102" spans="1:7">
      <c r="A102" s="12" t="s">
        <v>80</v>
      </c>
      <c r="B102">
        <v>2.1613711352788711</v>
      </c>
      <c r="C102">
        <v>-0.51434145060306535</v>
      </c>
      <c r="D102">
        <v>-0.19878520438251979</v>
      </c>
      <c r="E102">
        <v>5.6583682214167985E-2</v>
      </c>
      <c r="F102">
        <v>0.1313196477337738</v>
      </c>
      <c r="G102">
        <v>0.22786373157064693</v>
      </c>
    </row>
    <row r="103" spans="1:7">
      <c r="A103" s="12" t="s">
        <v>81</v>
      </c>
      <c r="B103">
        <v>2.3115368679292052</v>
      </c>
      <c r="C103">
        <v>-0.50102479607768924</v>
      </c>
      <c r="D103">
        <v>-3.2226967402935458E-2</v>
      </c>
      <c r="E103">
        <v>0.7485149905516284</v>
      </c>
      <c r="F103">
        <v>-5.7391245176646954E-2</v>
      </c>
      <c r="G103">
        <v>-7.0802769147863515E-2</v>
      </c>
    </row>
    <row r="104" spans="1:7">
      <c r="A104" s="12" t="s">
        <v>82</v>
      </c>
      <c r="B104">
        <v>2.6691376854360405</v>
      </c>
      <c r="C104">
        <v>-0.5335425957861748</v>
      </c>
      <c r="D104">
        <v>-0.11195713584276867</v>
      </c>
      <c r="E104">
        <v>0.59111494436932566</v>
      </c>
      <c r="F104">
        <v>0.15537470009524412</v>
      </c>
      <c r="G104">
        <v>0.19844225543468744</v>
      </c>
    </row>
    <row r="105" spans="1:7">
      <c r="A105" s="12" t="s">
        <v>83</v>
      </c>
      <c r="B105">
        <v>2.3606578075712266</v>
      </c>
      <c r="C105">
        <v>-0.49842596143025036</v>
      </c>
      <c r="D105">
        <v>-0.1041653493964101</v>
      </c>
      <c r="E105">
        <v>0.43401211564720626</v>
      </c>
      <c r="F105">
        <v>-4.0736953719224811E-3</v>
      </c>
      <c r="G105">
        <v>9.8838810275451744E-2</v>
      </c>
    </row>
    <row r="106" spans="1:7">
      <c r="A106" s="12" t="s">
        <v>84</v>
      </c>
      <c r="B106">
        <v>-3.5075861790640852</v>
      </c>
      <c r="C106">
        <v>-0.28785924585717693</v>
      </c>
      <c r="D106">
        <v>8.3668080069995016E-2</v>
      </c>
      <c r="E106">
        <v>0.42106166326059347</v>
      </c>
      <c r="F106">
        <v>0.44436379770433687</v>
      </c>
      <c r="G106">
        <v>-0.10019242078218227</v>
      </c>
    </row>
    <row r="107" spans="1:7">
      <c r="A107" s="12" t="s">
        <v>85</v>
      </c>
      <c r="B107">
        <v>-2.5387720875122279</v>
      </c>
      <c r="C107">
        <v>-0.28156992816777732</v>
      </c>
      <c r="D107">
        <v>5.2523990048662081E-2</v>
      </c>
      <c r="E107">
        <v>0.18325395930454091</v>
      </c>
      <c r="F107">
        <v>5.1254315787626625E-3</v>
      </c>
      <c r="G107">
        <v>8.1009166586703679E-2</v>
      </c>
    </row>
    <row r="108" spans="1:7">
      <c r="A108" s="12" t="s">
        <v>86</v>
      </c>
      <c r="B108">
        <v>0.28772270105463305</v>
      </c>
      <c r="C108">
        <v>-0.41234347785010411</v>
      </c>
      <c r="D108">
        <v>-3.5088665031202844E-2</v>
      </c>
      <c r="E108">
        <v>0.44690282469899867</v>
      </c>
      <c r="F108">
        <v>0.14994806997373963</v>
      </c>
      <c r="G108">
        <v>0.27835020703235869</v>
      </c>
    </row>
    <row r="109" spans="1:7">
      <c r="A109" s="12" t="s">
        <v>87</v>
      </c>
      <c r="B109">
        <v>2.7453803679972406</v>
      </c>
      <c r="C109">
        <v>-0.40302712570194343</v>
      </c>
      <c r="D109">
        <v>2.8385011983383987E-2</v>
      </c>
      <c r="E109">
        <v>0.72299781451737277</v>
      </c>
      <c r="F109">
        <v>0.38890894489467964</v>
      </c>
      <c r="G109">
        <v>1.6489107355173116E-2</v>
      </c>
    </row>
    <row r="110" spans="1:7">
      <c r="A110" s="12" t="s">
        <v>88</v>
      </c>
      <c r="B110">
        <v>0.73801077816813221</v>
      </c>
      <c r="C110">
        <v>-0.3672393985602963</v>
      </c>
      <c r="D110">
        <v>-0.10747443543298683</v>
      </c>
      <c r="E110">
        <v>-0.35551498908671297</v>
      </c>
      <c r="F110">
        <v>-0.49370804943443625</v>
      </c>
      <c r="G110">
        <v>-0.47464883649862377</v>
      </c>
    </row>
    <row r="111" spans="1:7">
      <c r="A111" s="12" t="s">
        <v>89</v>
      </c>
      <c r="B111">
        <v>1.6421455884088585</v>
      </c>
      <c r="C111">
        <v>-0.46104603117552168</v>
      </c>
      <c r="D111">
        <v>-9.1205949293490032E-2</v>
      </c>
      <c r="E111">
        <v>0.35437517049577305</v>
      </c>
      <c r="F111">
        <v>6.7029772860652037E-2</v>
      </c>
      <c r="G111">
        <v>-0.32739594797391419</v>
      </c>
    </row>
    <row r="112" spans="1:7">
      <c r="A112" s="12" t="s">
        <v>90</v>
      </c>
      <c r="B112">
        <v>0.55195321181161972</v>
      </c>
      <c r="C112">
        <v>-0.42454866199668717</v>
      </c>
      <c r="D112">
        <v>-0.15470464853380908</v>
      </c>
      <c r="E112">
        <v>-9.4950300966471904E-2</v>
      </c>
      <c r="F112">
        <v>3.6703184039452108E-2</v>
      </c>
      <c r="G112">
        <v>5.095672707976278E-2</v>
      </c>
    </row>
    <row r="113" spans="1:7">
      <c r="A113" s="12" t="s">
        <v>91</v>
      </c>
      <c r="B113">
        <v>-0.72593283995964086</v>
      </c>
      <c r="C113">
        <v>4.3711909103275803E-3</v>
      </c>
      <c r="D113">
        <v>0.2773316329444554</v>
      </c>
      <c r="E113">
        <v>-0.15064687308593572</v>
      </c>
      <c r="F113">
        <v>-9.3578731627323497E-2</v>
      </c>
      <c r="G113">
        <v>8.4679920237357223E-2</v>
      </c>
    </row>
    <row r="114" spans="1:7">
      <c r="A114" s="12" t="s">
        <v>92</v>
      </c>
      <c r="B114">
        <v>-2.2248211512993379</v>
      </c>
      <c r="C114">
        <v>-0.32593398764462739</v>
      </c>
      <c r="D114">
        <v>-8.3759385758745572E-2</v>
      </c>
      <c r="E114">
        <v>-9.5866904944952314E-2</v>
      </c>
      <c r="F114">
        <v>0.46039322497527135</v>
      </c>
      <c r="G114">
        <v>0.3440155479775634</v>
      </c>
    </row>
    <row r="115" spans="1:7">
      <c r="A115" s="12" t="s">
        <v>93</v>
      </c>
      <c r="B115">
        <v>-2.9534929215595973</v>
      </c>
      <c r="C115">
        <v>-0.21431216197731082</v>
      </c>
      <c r="D115">
        <v>0.11780274881947586</v>
      </c>
      <c r="E115">
        <v>0.25545037690178773</v>
      </c>
      <c r="F115">
        <v>0.15248619653205486</v>
      </c>
      <c r="G115">
        <v>9.707871576409105E-2</v>
      </c>
    </row>
    <row r="116" spans="1:7">
      <c r="A116" s="12" t="s">
        <v>94</v>
      </c>
      <c r="B116">
        <v>1.9649317113492677</v>
      </c>
      <c r="C116">
        <v>-0.47664148894401487</v>
      </c>
      <c r="D116">
        <v>-0.12379296417550478</v>
      </c>
      <c r="E116">
        <v>0.32798646095722389</v>
      </c>
      <c r="F116">
        <v>0.12393263886526584</v>
      </c>
      <c r="G116">
        <v>-0.17154850818589107</v>
      </c>
    </row>
    <row r="117" spans="1:7">
      <c r="A117" s="12" t="s">
        <v>95</v>
      </c>
      <c r="B117">
        <v>1.7442735980387987</v>
      </c>
      <c r="C117">
        <v>-0.44941511255346606</v>
      </c>
      <c r="D117">
        <v>-0.19282530617337112</v>
      </c>
      <c r="E117">
        <v>-0.18089481982360583</v>
      </c>
      <c r="F117">
        <v>-0.17745330854923058</v>
      </c>
      <c r="G117">
        <v>7.0334784432407704E-2</v>
      </c>
    </row>
    <row r="118" spans="1:7">
      <c r="A118" s="12" t="s">
        <v>96</v>
      </c>
      <c r="B118">
        <v>0.72311727138307158</v>
      </c>
      <c r="C118">
        <v>-0.38749193854610703</v>
      </c>
      <c r="D118">
        <v>-0.18464708556176967</v>
      </c>
      <c r="E118">
        <v>-0.40791329051722858</v>
      </c>
      <c r="F118">
        <v>4.6464895905833414E-2</v>
      </c>
      <c r="G118">
        <v>9.5691058711667408E-3</v>
      </c>
    </row>
    <row r="119" spans="1:7">
      <c r="A119" s="12" t="s">
        <v>97</v>
      </c>
      <c r="B119">
        <v>-2.2800201331921297</v>
      </c>
      <c r="C119">
        <v>-0.32290023317306477</v>
      </c>
      <c r="D119">
        <v>-1.4390739821239534E-2</v>
      </c>
      <c r="E119">
        <v>0.15396878143410081</v>
      </c>
      <c r="F119">
        <v>0.3125967302953585</v>
      </c>
      <c r="G119">
        <v>-0.41599416643146347</v>
      </c>
    </row>
    <row r="120" spans="1:7">
      <c r="A120" s="12" t="s">
        <v>98</v>
      </c>
      <c r="B120">
        <v>2.3417155694278304</v>
      </c>
      <c r="C120">
        <v>-0.50546305273524994</v>
      </c>
      <c r="D120">
        <v>-0.1388962115326236</v>
      </c>
      <c r="E120">
        <v>0.43906026631361228</v>
      </c>
      <c r="F120">
        <v>6.8345893690021753E-2</v>
      </c>
      <c r="G120">
        <v>8.0140704782443006E-2</v>
      </c>
    </row>
    <row r="121" spans="1:7">
      <c r="A121" s="12" t="s">
        <v>99</v>
      </c>
      <c r="B121">
        <v>1.7145203141923977</v>
      </c>
      <c r="C121">
        <v>-0.42643762925465523</v>
      </c>
      <c r="D121">
        <v>-0.20704381375698555</v>
      </c>
      <c r="E121">
        <v>-0.34889242451297076</v>
      </c>
      <c r="F121">
        <v>-0.30798582737059116</v>
      </c>
      <c r="G121">
        <v>0.18276250309868994</v>
      </c>
    </row>
    <row r="122" spans="1:7">
      <c r="A122" s="12" t="s">
        <v>100</v>
      </c>
      <c r="B122">
        <v>-3.3553674781581542</v>
      </c>
      <c r="C122">
        <v>0.17395200264137087</v>
      </c>
      <c r="D122">
        <v>0.62320932135718554</v>
      </c>
      <c r="E122">
        <v>0.82013036613590229</v>
      </c>
      <c r="F122">
        <v>-7.5235150329289291E-2</v>
      </c>
      <c r="G122">
        <v>0.22245943435445784</v>
      </c>
    </row>
    <row r="123" spans="1:7">
      <c r="A123" s="12" t="s">
        <v>101</v>
      </c>
      <c r="B123">
        <v>-1.6850101558689006</v>
      </c>
      <c r="C123">
        <v>-0.2734232311890416</v>
      </c>
      <c r="D123">
        <v>-7.645691761159451E-3</v>
      </c>
      <c r="E123">
        <v>7.5608226588496086E-3</v>
      </c>
      <c r="F123">
        <v>0.19290014222062501</v>
      </c>
      <c r="G123">
        <v>-0.3119731567681524</v>
      </c>
    </row>
    <row r="124" spans="1:7">
      <c r="A124" s="12" t="s">
        <v>102</v>
      </c>
      <c r="B124">
        <v>-2.7394654861777412</v>
      </c>
      <c r="C124">
        <v>-2.931549314738716E-2</v>
      </c>
      <c r="D124">
        <v>0.36770988278413475</v>
      </c>
      <c r="E124">
        <v>0.58644367373685702</v>
      </c>
      <c r="F124">
        <v>-5.3486874459092615E-2</v>
      </c>
      <c r="G124">
        <v>-0.59965623745829655</v>
      </c>
    </row>
    <row r="125" spans="1:7">
      <c r="A125" s="12" t="s">
        <v>103</v>
      </c>
      <c r="B125">
        <v>-1.553673337854993</v>
      </c>
      <c r="C125">
        <v>-0.26331231221620188</v>
      </c>
      <c r="D125">
        <v>-0.12315073216551985</v>
      </c>
      <c r="E125">
        <v>-0.58274104844000085</v>
      </c>
      <c r="F125">
        <v>-0.12843702027042903</v>
      </c>
      <c r="G125">
        <v>-9.1055376719056363E-2</v>
      </c>
    </row>
    <row r="126" spans="1:7">
      <c r="A126" s="12" t="s">
        <v>104</v>
      </c>
      <c r="B126">
        <v>0.47788784704011739</v>
      </c>
      <c r="C126">
        <v>-0.32029165964835049</v>
      </c>
      <c r="D126">
        <v>-0.18440887350360632</v>
      </c>
      <c r="E126">
        <v>-0.55283859317055695</v>
      </c>
      <c r="F126">
        <v>-4.6779293294978902E-2</v>
      </c>
      <c r="G126">
        <v>0.13901684118478971</v>
      </c>
    </row>
    <row r="127" spans="1:7">
      <c r="A127" s="12" t="s">
        <v>105</v>
      </c>
      <c r="B127">
        <v>-0.37535669299486285</v>
      </c>
      <c r="C127">
        <v>-0.33032096445858539</v>
      </c>
      <c r="D127">
        <v>-0.2409198232671069</v>
      </c>
      <c r="E127">
        <v>-0.80791625433083647</v>
      </c>
      <c r="F127">
        <v>-0.18971681990151751</v>
      </c>
      <c r="G127">
        <v>6.6887606940682243E-2</v>
      </c>
    </row>
    <row r="128" spans="1:7">
      <c r="A128" s="12" t="s">
        <v>106</v>
      </c>
      <c r="B128">
        <v>-2.675298068407447</v>
      </c>
      <c r="C128">
        <v>-0.25574739281976139</v>
      </c>
      <c r="D128">
        <v>-3.6825892823139042E-2</v>
      </c>
      <c r="E128">
        <v>-0.11213596671514697</v>
      </c>
      <c r="F128">
        <v>0.21834864665371834</v>
      </c>
      <c r="G128">
        <v>-0.55179080129944069</v>
      </c>
    </row>
    <row r="129" spans="1:7">
      <c r="A129" s="12" t="s">
        <v>107</v>
      </c>
      <c r="B129">
        <v>-3.365394782643703</v>
      </c>
      <c r="C129">
        <v>0.17709844564017588</v>
      </c>
      <c r="D129">
        <v>0.54090686564927348</v>
      </c>
      <c r="E129">
        <v>0.67498085250494444</v>
      </c>
      <c r="F129">
        <v>0.19599748727779565</v>
      </c>
      <c r="G129">
        <v>0.30771954487665154</v>
      </c>
    </row>
    <row r="130" spans="1:7">
      <c r="A130" s="12" t="s">
        <v>108</v>
      </c>
      <c r="B130">
        <v>-2.9524966551630727</v>
      </c>
      <c r="C130">
        <v>0.17769323357852274</v>
      </c>
      <c r="D130">
        <v>0.39497799657079347</v>
      </c>
      <c r="E130">
        <v>-5.5713569691998477E-2</v>
      </c>
      <c r="F130">
        <v>0.42456659804837549</v>
      </c>
      <c r="G130">
        <v>-0.14538279187619424</v>
      </c>
    </row>
    <row r="131" spans="1:7">
      <c r="A131" s="12" t="s">
        <v>109</v>
      </c>
      <c r="B131">
        <v>0.24394235921412616</v>
      </c>
      <c r="C131">
        <v>0.58165990591653749</v>
      </c>
      <c r="D131">
        <v>0.84955239055951282</v>
      </c>
      <c r="E131">
        <v>-6.3795929367788939E-3</v>
      </c>
      <c r="F131">
        <v>-0.32204060818458241</v>
      </c>
      <c r="G131">
        <v>-2.9193728836155175E-2</v>
      </c>
    </row>
    <row r="132" spans="1:7">
      <c r="A132" s="12" t="s">
        <v>110</v>
      </c>
      <c r="B132">
        <v>2.7368540456377963</v>
      </c>
      <c r="C132">
        <v>-0.50300243399563005</v>
      </c>
      <c r="D132">
        <v>-0.12708693428156814</v>
      </c>
      <c r="E132">
        <v>0.82478201889589031</v>
      </c>
      <c r="F132">
        <v>0.37045773999063858</v>
      </c>
      <c r="G132">
        <v>6.1690830104327743E-2</v>
      </c>
    </row>
    <row r="133" spans="1:7">
      <c r="A133" s="12" t="s">
        <v>111</v>
      </c>
      <c r="B133">
        <v>-3.0508798403387787</v>
      </c>
      <c r="C133">
        <v>-0.16656688506537434</v>
      </c>
      <c r="D133">
        <v>0.13301911610550043</v>
      </c>
      <c r="E133">
        <v>0.46145545919135939</v>
      </c>
      <c r="F133">
        <v>0.11414349857693162</v>
      </c>
      <c r="G133">
        <v>0.46916115795943514</v>
      </c>
    </row>
    <row r="134" spans="1:7">
      <c r="A134" s="12" t="s">
        <v>112</v>
      </c>
      <c r="B134">
        <v>1.4204239122208298</v>
      </c>
      <c r="C134">
        <v>-0.16968006470714314</v>
      </c>
      <c r="D134">
        <v>-1.8871767464249567E-2</v>
      </c>
      <c r="E134">
        <v>-0.37303850234892544</v>
      </c>
      <c r="F134">
        <v>-3.6723508824650586E-2</v>
      </c>
      <c r="G134">
        <v>0.17522851943228049</v>
      </c>
    </row>
    <row r="135" spans="1:7">
      <c r="A135" s="12" t="s">
        <v>113</v>
      </c>
      <c r="B135">
        <v>-2.568492658057739</v>
      </c>
      <c r="C135">
        <v>0.18742951597968599</v>
      </c>
      <c r="D135">
        <v>0.66627499675499147</v>
      </c>
      <c r="E135">
        <v>1.2696530127397823</v>
      </c>
      <c r="F135">
        <v>-0.67800054372734042</v>
      </c>
      <c r="G135">
        <v>0.46897530550286681</v>
      </c>
    </row>
    <row r="136" spans="1:7">
      <c r="A136" s="12" t="s">
        <v>114</v>
      </c>
      <c r="B136">
        <v>-2.807462494805709</v>
      </c>
      <c r="C136">
        <v>-8.4309745812549297E-2</v>
      </c>
      <c r="D136">
        <v>0.26286879311035588</v>
      </c>
      <c r="E136">
        <v>0.70069748557920741</v>
      </c>
      <c r="F136">
        <v>-0.3071869615124182</v>
      </c>
      <c r="G136">
        <v>4.6584429930568383E-2</v>
      </c>
    </row>
    <row r="137" spans="1:7">
      <c r="A137" s="12" t="s">
        <v>115</v>
      </c>
      <c r="B137">
        <v>-2.7693192755571712</v>
      </c>
      <c r="C137">
        <v>-0.14343497011380016</v>
      </c>
      <c r="D137">
        <v>0.13773676426899839</v>
      </c>
      <c r="E137">
        <v>0.47297445747220695</v>
      </c>
      <c r="F137">
        <v>-5.096060903915467E-2</v>
      </c>
      <c r="G137">
        <v>0.33418864132444093</v>
      </c>
    </row>
    <row r="138" spans="1:7">
      <c r="A138" s="12" t="s">
        <v>116</v>
      </c>
      <c r="B138">
        <v>0.2696284771417799</v>
      </c>
      <c r="C138">
        <v>-0.30430236186422521</v>
      </c>
      <c r="D138">
        <v>-0.31782500936563651</v>
      </c>
      <c r="E138">
        <v>-0.96680110491598115</v>
      </c>
      <c r="F138">
        <v>9.3626137813543758E-2</v>
      </c>
      <c r="G138">
        <v>9.4853640823706495E-2</v>
      </c>
    </row>
    <row r="139" spans="1:7">
      <c r="A139" s="12" t="s">
        <v>117</v>
      </c>
      <c r="B139">
        <v>8.1041092249217156E-2</v>
      </c>
      <c r="C139">
        <v>-0.33288424267802114</v>
      </c>
      <c r="D139">
        <v>-0.36584908903217689</v>
      </c>
      <c r="E139">
        <v>-1.1070722380683751</v>
      </c>
      <c r="F139">
        <v>-0.15763594964455435</v>
      </c>
      <c r="G139">
        <v>8.8141563714079413E-2</v>
      </c>
    </row>
    <row r="140" spans="1:7">
      <c r="A140" s="12" t="s">
        <v>118</v>
      </c>
      <c r="B140">
        <v>-1.7173801323427871</v>
      </c>
      <c r="C140">
        <v>-8.7251868387987846E-2</v>
      </c>
      <c r="D140">
        <v>-0.11386311403274821</v>
      </c>
      <c r="E140">
        <v>-0.94618363679589201</v>
      </c>
      <c r="F140">
        <v>0.51968098908431659</v>
      </c>
      <c r="G140">
        <v>-1.08002335853567E-2</v>
      </c>
    </row>
    <row r="141" spans="1:7">
      <c r="A141" s="12" t="s">
        <v>119</v>
      </c>
      <c r="B141">
        <v>0.91442062588181661</v>
      </c>
      <c r="C141">
        <v>-0.31216546105663862</v>
      </c>
      <c r="D141">
        <v>-0.15079564006855922</v>
      </c>
      <c r="E141">
        <v>-0.16987208886764318</v>
      </c>
      <c r="F141">
        <v>-0.24107251502460475</v>
      </c>
      <c r="G141">
        <v>-0.15217496076417797</v>
      </c>
    </row>
    <row r="142" spans="1:7">
      <c r="A142" s="12" t="s">
        <v>120</v>
      </c>
      <c r="B142">
        <v>2.708787394892989</v>
      </c>
      <c r="C142">
        <v>2.2899968041573988</v>
      </c>
      <c r="D142">
        <v>2.501697307190466</v>
      </c>
      <c r="E142">
        <v>-7.9462910269034792E-2</v>
      </c>
      <c r="F142">
        <v>0.3858175139030886</v>
      </c>
      <c r="G142">
        <v>0.24791616879677961</v>
      </c>
    </row>
    <row r="143" spans="1:7">
      <c r="A143" s="12" t="s">
        <v>121</v>
      </c>
      <c r="B143">
        <v>-3.3330433493530136</v>
      </c>
      <c r="C143">
        <v>5.8005350036993177E-2</v>
      </c>
      <c r="D143">
        <v>0.33296743563667464</v>
      </c>
      <c r="E143">
        <v>0.62857629560888217</v>
      </c>
      <c r="F143">
        <v>0.22574925056763195</v>
      </c>
      <c r="G143">
        <v>4.9543945609096252E-2</v>
      </c>
    </row>
    <row r="144" spans="1:7">
      <c r="A144" s="12" t="s">
        <v>122</v>
      </c>
      <c r="B144">
        <v>-1.4949399112108219</v>
      </c>
      <c r="C144">
        <v>-9.6841776191078477E-2</v>
      </c>
      <c r="D144">
        <v>-1.4162061810827353E-3</v>
      </c>
      <c r="E144">
        <v>-0.19207239120116631</v>
      </c>
      <c r="F144">
        <v>0.19516356169825844</v>
      </c>
      <c r="G144">
        <v>0.31034178586231997</v>
      </c>
    </row>
    <row r="145" spans="1:7">
      <c r="A145" s="12" t="s">
        <v>123</v>
      </c>
      <c r="B145">
        <v>-1.5540056537357958</v>
      </c>
      <c r="C145">
        <v>-0.20226015151766652</v>
      </c>
      <c r="D145">
        <v>-0.139531436444056</v>
      </c>
      <c r="E145">
        <v>-0.3530883374672974</v>
      </c>
      <c r="F145">
        <v>0.23525916344529241</v>
      </c>
      <c r="G145">
        <v>5.7043540011962324E-2</v>
      </c>
    </row>
    <row r="146" spans="1:7">
      <c r="A146" s="12" t="s">
        <v>124</v>
      </c>
      <c r="B146">
        <v>1.15205406871696</v>
      </c>
      <c r="C146">
        <v>0.40641578434323206</v>
      </c>
      <c r="D146">
        <v>0.53454206401635029</v>
      </c>
      <c r="E146">
        <v>-0.11483587156749275</v>
      </c>
      <c r="F146">
        <v>-0.40939814060008944</v>
      </c>
      <c r="G146">
        <v>7.7779175254147764E-2</v>
      </c>
    </row>
    <row r="147" spans="1:7">
      <c r="A147" s="12" t="s">
        <v>125</v>
      </c>
      <c r="B147">
        <v>1.3596882868202491</v>
      </c>
      <c r="C147">
        <v>-0.26864236626196919</v>
      </c>
      <c r="D147">
        <v>-0.14352993297857142</v>
      </c>
      <c r="E147">
        <v>5.9207004835964805E-2</v>
      </c>
      <c r="F147">
        <v>9.0766614654888056E-2</v>
      </c>
      <c r="G147">
        <v>-0.31992533180371791</v>
      </c>
    </row>
    <row r="148" spans="1:7">
      <c r="A148" s="12" t="s">
        <v>126</v>
      </c>
      <c r="B148">
        <v>0.76187966146944663</v>
      </c>
      <c r="C148">
        <v>-3.2080023208535854E-2</v>
      </c>
      <c r="D148">
        <v>2.4259506325383824E-2</v>
      </c>
      <c r="E148">
        <v>-0.2999591908749123</v>
      </c>
      <c r="F148">
        <v>-0.16454026017998558</v>
      </c>
      <c r="G148">
        <v>3.8328720277297057E-2</v>
      </c>
    </row>
    <row r="149" spans="1:7">
      <c r="A149" s="12" t="s">
        <v>127</v>
      </c>
      <c r="B149">
        <v>-0.86609970403950842</v>
      </c>
      <c r="C149">
        <v>-0.13664032628958947</v>
      </c>
      <c r="D149">
        <v>-0.10204914961537967</v>
      </c>
      <c r="E149">
        <v>-0.28268674121862492</v>
      </c>
      <c r="F149">
        <v>0.18494785744969683</v>
      </c>
      <c r="G149">
        <v>0.20942531828915678</v>
      </c>
    </row>
    <row r="150" spans="1:7">
      <c r="A150" s="12" t="s">
        <v>128</v>
      </c>
      <c r="B150">
        <v>0.67029264716561554</v>
      </c>
      <c r="C150">
        <v>0.11446881270100423</v>
      </c>
      <c r="D150">
        <v>0.14097483482769085</v>
      </c>
      <c r="E150">
        <v>-0.44714061395651072</v>
      </c>
      <c r="F150">
        <v>-6.3122956135930483E-2</v>
      </c>
      <c r="G150">
        <v>-7.66280107805134E-4</v>
      </c>
    </row>
    <row r="151" spans="1:7">
      <c r="A151" s="12" t="s">
        <v>129</v>
      </c>
      <c r="B151">
        <v>-1.3877751323417202</v>
      </c>
      <c r="C151">
        <v>-0.21430130517139001</v>
      </c>
      <c r="D151">
        <v>-0.31340474557531084</v>
      </c>
      <c r="E151">
        <v>-0.82322205907522095</v>
      </c>
      <c r="F151">
        <v>0.52137612820953916</v>
      </c>
      <c r="G151">
        <v>7.3625187454730207E-2</v>
      </c>
    </row>
    <row r="152" spans="1:7">
      <c r="A152" s="12" t="s">
        <v>130</v>
      </c>
      <c r="B152">
        <v>0.26417373234359254</v>
      </c>
      <c r="C152">
        <v>-0.17568569031864148</v>
      </c>
      <c r="D152">
        <v>-0.10527894539629358</v>
      </c>
      <c r="E152">
        <v>0.10579139391797621</v>
      </c>
      <c r="F152">
        <v>0.63272310330604675</v>
      </c>
      <c r="G152">
        <v>2.5093519123361191E-2</v>
      </c>
    </row>
    <row r="153" spans="1:7">
      <c r="A153" s="12" t="s">
        <v>131</v>
      </c>
      <c r="B153">
        <v>-0.87266008482965085</v>
      </c>
      <c r="C153">
        <v>-0.10005530993523047</v>
      </c>
      <c r="D153">
        <v>-0.19056554907691128</v>
      </c>
      <c r="E153">
        <v>-0.84935031940828221</v>
      </c>
      <c r="F153">
        <v>-0.29254513688920403</v>
      </c>
      <c r="G153">
        <v>2.6006645856618563E-2</v>
      </c>
    </row>
    <row r="154" spans="1:7">
      <c r="A154" s="12" t="s">
        <v>132</v>
      </c>
      <c r="B154">
        <v>-1.8700460991458687</v>
      </c>
      <c r="C154">
        <v>0.62965151694634658</v>
      </c>
      <c r="D154">
        <v>0.68211727119038656</v>
      </c>
      <c r="E154">
        <v>-4.3652118578936638E-2</v>
      </c>
      <c r="F154">
        <v>0.17308214957880297</v>
      </c>
      <c r="G154">
        <v>0.25985193510567173</v>
      </c>
    </row>
    <row r="155" spans="1:7">
      <c r="A155" s="12" t="s">
        <v>133</v>
      </c>
      <c r="B155">
        <v>2.7809422193958153</v>
      </c>
      <c r="C155">
        <v>2.8499361660039484</v>
      </c>
      <c r="D155">
        <v>2.9776524148085013</v>
      </c>
      <c r="E155">
        <v>2.4954201115754415E-2</v>
      </c>
      <c r="F155">
        <v>0.48618398125333284</v>
      </c>
      <c r="G155">
        <v>0.18381639369963265</v>
      </c>
    </row>
    <row r="156" spans="1:7">
      <c r="A156" s="12" t="s">
        <v>134</v>
      </c>
      <c r="B156">
        <v>-2.3636282460047799</v>
      </c>
      <c r="C156">
        <v>-0.14024159805917469</v>
      </c>
      <c r="D156">
        <v>-3.2021448001101183E-2</v>
      </c>
      <c r="E156">
        <v>0.29853375502593471</v>
      </c>
      <c r="F156">
        <v>0.24639232216919271</v>
      </c>
      <c r="G156">
        <v>-0.38039020067088958</v>
      </c>
    </row>
    <row r="157" spans="1:7">
      <c r="A157" s="12" t="s">
        <v>135</v>
      </c>
      <c r="B157">
        <v>-3.6053491877192845</v>
      </c>
      <c r="C157">
        <v>7.6235333697182092E-2</v>
      </c>
      <c r="D157">
        <v>0.29925771032970117</v>
      </c>
      <c r="E157">
        <v>0.9395120726120374</v>
      </c>
      <c r="F157">
        <v>0.15164481431338661</v>
      </c>
      <c r="G157">
        <v>0.17985262288940856</v>
      </c>
    </row>
    <row r="158" spans="1:7">
      <c r="A158" s="12" t="s">
        <v>136</v>
      </c>
      <c r="B158">
        <v>-5.851933403099642E-2</v>
      </c>
      <c r="C158">
        <v>0.58436034906176759</v>
      </c>
      <c r="D158">
        <v>0.50322542413941085</v>
      </c>
      <c r="E158">
        <v>-0.72437956807527748</v>
      </c>
      <c r="F158">
        <v>-0.35207286084099282</v>
      </c>
      <c r="G158">
        <v>0.41878678954198639</v>
      </c>
    </row>
    <row r="159" spans="1:7">
      <c r="A159" s="12" t="s">
        <v>137</v>
      </c>
      <c r="B159">
        <v>1.6900658848537282</v>
      </c>
      <c r="C159">
        <v>-0.24534495657453978</v>
      </c>
      <c r="D159">
        <v>-0.18606121212124596</v>
      </c>
      <c r="E159">
        <v>0.20576236972321932</v>
      </c>
      <c r="F159">
        <v>7.331415123205387E-2</v>
      </c>
      <c r="G159">
        <v>-0.17778406834527388</v>
      </c>
    </row>
    <row r="160" spans="1:7">
      <c r="A160" s="12" t="s">
        <v>138</v>
      </c>
      <c r="B160">
        <v>1.1110219117907343</v>
      </c>
      <c r="C160">
        <v>0.68193583323846851</v>
      </c>
      <c r="D160">
        <v>0.61009532467539285</v>
      </c>
      <c r="E160">
        <v>-0.47948853480467002</v>
      </c>
      <c r="F160">
        <v>-0.25550281220231236</v>
      </c>
      <c r="G160">
        <v>0.1318198413901687</v>
      </c>
    </row>
    <row r="161" spans="1:7">
      <c r="A161" s="12" t="s">
        <v>139</v>
      </c>
      <c r="B161">
        <v>-1.7412753975858464</v>
      </c>
      <c r="C161">
        <v>-3.2527097293066935E-3</v>
      </c>
      <c r="D161">
        <v>4.7478172179179323E-2</v>
      </c>
      <c r="E161">
        <v>0.37736998709129449</v>
      </c>
      <c r="F161">
        <v>0.44350971556482166</v>
      </c>
      <c r="G161">
        <v>-0.4100240418819866</v>
      </c>
    </row>
    <row r="162" spans="1:7">
      <c r="A162" s="12" t="s">
        <v>140</v>
      </c>
      <c r="B162">
        <v>0.57234825212561269</v>
      </c>
      <c r="C162">
        <v>-6.5388205892770307E-2</v>
      </c>
      <c r="D162">
        <v>-0.14219301747491886</v>
      </c>
      <c r="E162">
        <v>-0.11903061937285761</v>
      </c>
      <c r="F162">
        <v>0.23001952421104366</v>
      </c>
      <c r="G162">
        <v>-0.48717350797383485</v>
      </c>
    </row>
    <row r="163" spans="1:7">
      <c r="A163" s="12" t="s">
        <v>141</v>
      </c>
      <c r="B163">
        <v>-2.1275543549405187</v>
      </c>
      <c r="C163">
        <v>0.15787038449481483</v>
      </c>
      <c r="D163">
        <v>0.10853450534798249</v>
      </c>
      <c r="E163">
        <v>6.8850602484794243E-2</v>
      </c>
      <c r="F163">
        <v>0.2278831270484426</v>
      </c>
      <c r="G163">
        <v>-0.21635649934626852</v>
      </c>
    </row>
    <row r="164" spans="1:7">
      <c r="A164" s="12" t="s">
        <v>142</v>
      </c>
      <c r="B164">
        <v>2.2552337431464258</v>
      </c>
      <c r="C164">
        <v>-0.15633040561441278</v>
      </c>
      <c r="D164">
        <v>-0.1990727234963694</v>
      </c>
      <c r="E164">
        <v>0.12815899842538125</v>
      </c>
      <c r="F164">
        <v>6.2916101768801469E-2</v>
      </c>
      <c r="G164">
        <v>0.24155789530704866</v>
      </c>
    </row>
    <row r="165" spans="1:7">
      <c r="A165" s="12" t="s">
        <v>143</v>
      </c>
      <c r="B165">
        <v>0.60753058505431368</v>
      </c>
      <c r="C165">
        <v>0.13901297189882242</v>
      </c>
      <c r="D165">
        <v>2.6537150725806639E-2</v>
      </c>
      <c r="E165">
        <v>-0.26045006517284547</v>
      </c>
      <c r="F165">
        <v>-1.9430101585265369E-2</v>
      </c>
      <c r="G165">
        <v>-2.1534887076947042E-2</v>
      </c>
    </row>
    <row r="166" spans="1:7">
      <c r="A166" s="12" t="s">
        <v>144</v>
      </c>
      <c r="B166">
        <v>2.4416821869775927</v>
      </c>
      <c r="C166">
        <v>-0.30346545891875609</v>
      </c>
      <c r="D166">
        <v>-0.31055404897339151</v>
      </c>
      <c r="E166">
        <v>0.549172970105819</v>
      </c>
      <c r="F166">
        <v>0.39805670293262341</v>
      </c>
      <c r="G166">
        <v>6.3872419466573627E-2</v>
      </c>
    </row>
    <row r="167" spans="1:7">
      <c r="A167" s="12" t="s">
        <v>145</v>
      </c>
      <c r="B167">
        <v>-1.2574933057965898</v>
      </c>
      <c r="C167">
        <v>0.2859728388369821</v>
      </c>
      <c r="D167">
        <v>0.35077168442001716</v>
      </c>
      <c r="E167">
        <v>0.49355909151652749</v>
      </c>
      <c r="F167">
        <v>-1.1077296097340996</v>
      </c>
      <c r="G167">
        <v>-0.74589382937110182</v>
      </c>
    </row>
    <row r="168" spans="1:7">
      <c r="A168" s="12" t="s">
        <v>146</v>
      </c>
      <c r="B168">
        <v>2.0527970713170456</v>
      </c>
      <c r="C168">
        <v>-0.14186536057953758</v>
      </c>
      <c r="D168">
        <v>-0.37530193734841311</v>
      </c>
      <c r="E168">
        <v>-0.14140832599129466</v>
      </c>
      <c r="F168">
        <v>-0.1878905673209047</v>
      </c>
      <c r="G168">
        <v>0.28580789930707129</v>
      </c>
    </row>
    <row r="169" spans="1:7">
      <c r="A169" s="12" t="s">
        <v>147</v>
      </c>
      <c r="B169">
        <v>2.5041599710084022</v>
      </c>
      <c r="C169">
        <v>-0.19079958629857977</v>
      </c>
      <c r="D169">
        <v>-0.2826354440994806</v>
      </c>
      <c r="E169">
        <v>0.73255250430683061</v>
      </c>
      <c r="F169">
        <v>0.3220788193816283</v>
      </c>
      <c r="G169">
        <v>2.6228477082629931E-2</v>
      </c>
    </row>
    <row r="170" spans="1:7">
      <c r="A170" s="12" t="s">
        <v>148</v>
      </c>
      <c r="B170">
        <v>2.442951171544514</v>
      </c>
      <c r="C170">
        <v>-5.9048415521911229E-2</v>
      </c>
      <c r="D170">
        <v>-0.23060063971777017</v>
      </c>
      <c r="E170">
        <v>0.44239299900486984</v>
      </c>
      <c r="F170">
        <v>0.21440245270826841</v>
      </c>
      <c r="G170">
        <v>9.1060071769056644E-2</v>
      </c>
    </row>
    <row r="171" spans="1:7">
      <c r="A171" s="12" t="s">
        <v>149</v>
      </c>
      <c r="B171">
        <v>-4.1622488203956038</v>
      </c>
      <c r="C171">
        <v>0.82893648863563318</v>
      </c>
      <c r="D171">
        <v>0.66824064173441633</v>
      </c>
      <c r="E171">
        <v>0.68047431659941493</v>
      </c>
      <c r="F171">
        <v>0.76526244416231659</v>
      </c>
      <c r="G171">
        <v>0.27908966007883101</v>
      </c>
    </row>
    <row r="172" spans="1:7">
      <c r="A172" s="12" t="s">
        <v>150</v>
      </c>
      <c r="B172">
        <v>0.42388569826684108</v>
      </c>
      <c r="C172">
        <v>5.2346594818318763E-2</v>
      </c>
      <c r="D172">
        <v>-0.38164409163374002</v>
      </c>
      <c r="E172">
        <v>-0.77261016978041708</v>
      </c>
      <c r="F172">
        <v>-0.26691311578650889</v>
      </c>
      <c r="G172">
        <v>-4.9172980828627449E-2</v>
      </c>
    </row>
    <row r="173" spans="1:7">
      <c r="A173" s="12" t="s">
        <v>151</v>
      </c>
      <c r="B173">
        <v>0.96843914161683475</v>
      </c>
      <c r="C173">
        <v>0.13739267451789106</v>
      </c>
      <c r="D173">
        <v>-0.2048429457377014</v>
      </c>
      <c r="E173">
        <v>-0.12048400306596904</v>
      </c>
      <c r="F173">
        <v>-0.26113379306107548</v>
      </c>
      <c r="G173">
        <v>-2.5204377869523092E-3</v>
      </c>
    </row>
    <row r="174" spans="1:7">
      <c r="A174" s="12" t="s">
        <v>152</v>
      </c>
      <c r="B174">
        <v>0.18420398405613442</v>
      </c>
      <c r="C174">
        <v>0.49813051547241499</v>
      </c>
      <c r="D174">
        <v>4.0195037520298071E-2</v>
      </c>
      <c r="E174">
        <v>-0.7182374185634598</v>
      </c>
      <c r="F174">
        <v>-0.56979033768412091</v>
      </c>
      <c r="G174">
        <v>0.23455864356080661</v>
      </c>
    </row>
    <row r="175" spans="1:7">
      <c r="A175" s="12" t="s">
        <v>153</v>
      </c>
      <c r="B175">
        <v>2.5341799107766563</v>
      </c>
      <c r="C175">
        <v>-5.7462122563426303E-2</v>
      </c>
      <c r="D175">
        <v>-0.34261076011223873</v>
      </c>
      <c r="E175">
        <v>0.68215628617969237</v>
      </c>
      <c r="F175">
        <v>0.23452015068239507</v>
      </c>
      <c r="G175">
        <v>-1.3497098370321703E-3</v>
      </c>
    </row>
    <row r="176" spans="1:7">
      <c r="A176" s="12" t="s">
        <v>154</v>
      </c>
      <c r="B176">
        <v>0.22972306234018625</v>
      </c>
      <c r="C176">
        <v>0.28979827433573641</v>
      </c>
      <c r="D176">
        <v>-0.23891399365311586</v>
      </c>
      <c r="E176">
        <v>-0.55734776241162709</v>
      </c>
      <c r="F176">
        <v>4.989445972309868E-2</v>
      </c>
      <c r="G176">
        <v>-5.7112723162367034E-3</v>
      </c>
    </row>
    <row r="177" spans="1:7">
      <c r="A177" s="12" t="s">
        <v>155</v>
      </c>
      <c r="B177">
        <v>-2.4558100511928078</v>
      </c>
      <c r="C177">
        <v>0.40435412954264183</v>
      </c>
      <c r="D177">
        <v>-8.185973550301448E-2</v>
      </c>
      <c r="E177">
        <v>-0.16517229753652557</v>
      </c>
      <c r="F177">
        <v>0.27668093184314468</v>
      </c>
      <c r="G177">
        <v>0.12414179391990821</v>
      </c>
    </row>
    <row r="178" spans="1:7">
      <c r="A178" s="12" t="s">
        <v>156</v>
      </c>
      <c r="B178">
        <v>9.2175178815700254E-2</v>
      </c>
      <c r="C178">
        <v>6.7086830590264601E-2</v>
      </c>
      <c r="D178">
        <v>-0.57524643259925767</v>
      </c>
      <c r="E178">
        <v>-0.73411815785842749</v>
      </c>
      <c r="F178">
        <v>0.46918803826149014</v>
      </c>
      <c r="G178">
        <v>3.8221585775185529E-2</v>
      </c>
    </row>
    <row r="179" spans="1:7">
      <c r="A179" s="12" t="s">
        <v>157</v>
      </c>
      <c r="B179">
        <v>-0.31196970346881969</v>
      </c>
      <c r="C179">
        <v>0.11720817026303608</v>
      </c>
      <c r="D179">
        <v>-0.49904541694437549</v>
      </c>
      <c r="E179">
        <v>-0.37138613855663893</v>
      </c>
      <c r="F179">
        <v>0.10925865719976663</v>
      </c>
      <c r="G179">
        <v>-0.30156579645022014</v>
      </c>
    </row>
    <row r="180" spans="1:7">
      <c r="A180" s="12" t="s">
        <v>158</v>
      </c>
      <c r="B180">
        <v>0.9630750995597086</v>
      </c>
      <c r="C180">
        <v>0.76797251861027471</v>
      </c>
      <c r="D180">
        <v>-5.3780585975777173E-2</v>
      </c>
      <c r="E180">
        <v>-0.5194298622020036</v>
      </c>
      <c r="F180">
        <v>-0.2811618102659138</v>
      </c>
      <c r="G180">
        <v>0.24569822196996483</v>
      </c>
    </row>
    <row r="181" spans="1:7">
      <c r="A181" s="12" t="s">
        <v>159</v>
      </c>
      <c r="B181">
        <v>2.5630502221580436</v>
      </c>
      <c r="C181">
        <v>0.17566032965219361</v>
      </c>
      <c r="D181">
        <v>-0.62321734379504379</v>
      </c>
      <c r="E181">
        <v>0.42463852764630367</v>
      </c>
      <c r="F181">
        <v>0.28758886629287206</v>
      </c>
      <c r="G181">
        <v>0.18547662858665398</v>
      </c>
    </row>
    <row r="182" spans="1:7">
      <c r="A182" s="12" t="s">
        <v>160</v>
      </c>
      <c r="B182">
        <v>1.400642744867457</v>
      </c>
      <c r="C182">
        <v>6.0740465202440754</v>
      </c>
      <c r="D182">
        <v>5.0853116528178299</v>
      </c>
      <c r="E182">
        <v>-0.79645638044621681</v>
      </c>
      <c r="F182">
        <v>-2.2135557858475097E-2</v>
      </c>
      <c r="G182">
        <v>-0.36971573629204951</v>
      </c>
    </row>
    <row r="183" spans="1:7">
      <c r="A183" s="12" t="s">
        <v>161</v>
      </c>
      <c r="B183">
        <v>-1.2184393146324255</v>
      </c>
      <c r="C183">
        <v>0.37069513073777816</v>
      </c>
      <c r="D183">
        <v>-0.89947879669476383</v>
      </c>
      <c r="E183">
        <v>-0.80187606136139755</v>
      </c>
      <c r="F183">
        <v>0.22655123945408673</v>
      </c>
      <c r="G183">
        <v>0.1278972805475504</v>
      </c>
    </row>
    <row r="184" spans="1:7">
      <c r="A184" s="12" t="s">
        <v>162</v>
      </c>
      <c r="B184">
        <v>-2.4192089494372095</v>
      </c>
      <c r="C184">
        <v>0.74037851061234783</v>
      </c>
      <c r="D184">
        <v>-0.18317654186467114</v>
      </c>
      <c r="E184">
        <v>1.4470519969403977</v>
      </c>
      <c r="F184">
        <v>0.14208436632025079</v>
      </c>
      <c r="G184">
        <v>-8.7858881955522883E-3</v>
      </c>
    </row>
    <row r="185" spans="1:7">
      <c r="A185" s="12" t="s">
        <v>163</v>
      </c>
      <c r="B185">
        <v>-1.5614941110277321</v>
      </c>
      <c r="C185">
        <v>0.73656677388114655</v>
      </c>
      <c r="D185">
        <v>-0.57246698806653118</v>
      </c>
      <c r="E185">
        <v>0.31793235810721954</v>
      </c>
      <c r="F185">
        <v>0.20633930215194152</v>
      </c>
      <c r="G185">
        <v>0.59366365079529004</v>
      </c>
    </row>
    <row r="186" spans="1:7">
      <c r="A186" s="12" t="s">
        <v>164</v>
      </c>
      <c r="B186">
        <v>0.96813418968918874</v>
      </c>
      <c r="C186">
        <v>3.5043713100130267</v>
      </c>
      <c r="D186">
        <v>1.9388107109848247</v>
      </c>
      <c r="E186">
        <v>-0.47632605146763868</v>
      </c>
      <c r="F186">
        <v>0.1680461991829984</v>
      </c>
      <c r="G186">
        <v>-2.5956732215819081E-2</v>
      </c>
    </row>
    <row r="187" spans="1:7">
      <c r="A187" s="12" t="s">
        <v>165</v>
      </c>
      <c r="B187">
        <v>-0.50080029583895835</v>
      </c>
      <c r="C187">
        <v>1.4056543898969029</v>
      </c>
      <c r="D187">
        <v>-0.69459288631674021</v>
      </c>
      <c r="E187">
        <v>-0.61740665205083178</v>
      </c>
      <c r="F187">
        <v>-0.21618054548883053</v>
      </c>
      <c r="G187">
        <v>-4.1045640699175719E-2</v>
      </c>
    </row>
    <row r="188" spans="1:7">
      <c r="A188" s="12" t="s">
        <v>166</v>
      </c>
      <c r="B188">
        <v>2.5453006242269209</v>
      </c>
      <c r="C188">
        <v>4.2465656330179415</v>
      </c>
      <c r="D188">
        <v>1.7171058922664462</v>
      </c>
      <c r="E188">
        <v>0.33827843804595686</v>
      </c>
      <c r="F188">
        <v>0.10487113217959698</v>
      </c>
      <c r="G188">
        <v>6.1231966590387543E-2</v>
      </c>
    </row>
    <row r="189" spans="1:7">
      <c r="A189" s="12" t="s">
        <v>167</v>
      </c>
      <c r="B189">
        <v>-1.1562955821347436</v>
      </c>
      <c r="C189">
        <v>6.7538584890796018</v>
      </c>
      <c r="D189">
        <v>-4.9472841366400955</v>
      </c>
      <c r="E189">
        <v>0.68589408286854636</v>
      </c>
      <c r="F189">
        <v>-0.33086561771298972</v>
      </c>
      <c r="G189">
        <v>5.3271951014499302E-2</v>
      </c>
    </row>
    <row r="190" spans="1:7">
      <c r="A190" s="12" t="s">
        <v>168</v>
      </c>
      <c r="B190">
        <v>0.77051055962198045</v>
      </c>
      <c r="C190">
        <v>9.4616800257084197</v>
      </c>
      <c r="D190">
        <v>-3.2719224260261899</v>
      </c>
      <c r="E190">
        <v>0.30043604089381887</v>
      </c>
      <c r="F190">
        <v>2.4589581259127385E-2</v>
      </c>
      <c r="G190">
        <v>-0.17967858587813151</v>
      </c>
    </row>
  </sheetData>
  <mergeCells count="6">
    <mergeCell ref="I2:N7"/>
    <mergeCell ref="B12:G12"/>
    <mergeCell ref="I39:N39"/>
    <mergeCell ref="I48:N48"/>
    <mergeCell ref="K30:K31"/>
    <mergeCell ref="L30:L31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52546-8F72-4974-BA7E-4106816667CB}">
  <dimension ref="A1:S170"/>
  <sheetViews>
    <sheetView workbookViewId="0"/>
  </sheetViews>
  <sheetFormatPr defaultRowHeight="15"/>
  <cols>
    <col min="1" max="1" width="28.85546875" bestFit="1" customWidth="1"/>
    <col min="2" max="3" width="12.7109375" bestFit="1" customWidth="1"/>
    <col min="6" max="6" width="15.140625" customWidth="1"/>
    <col min="7" max="7" width="15" customWidth="1"/>
    <col min="8" max="8" width="13.140625" customWidth="1"/>
    <col min="9" max="9" width="12.28515625" customWidth="1"/>
    <col min="13" max="13" width="28.85546875" bestFit="1" customWidth="1"/>
  </cols>
  <sheetData>
    <row r="1" spans="1:19">
      <c r="A1" s="1" t="s">
        <v>176</v>
      </c>
      <c r="B1" s="1" t="s">
        <v>177</v>
      </c>
      <c r="C1" s="1" t="s">
        <v>178</v>
      </c>
      <c r="L1" s="13" t="s">
        <v>180</v>
      </c>
      <c r="M1" s="1" t="s">
        <v>171</v>
      </c>
      <c r="N1" s="24" t="s">
        <v>169</v>
      </c>
      <c r="O1" s="24" t="s">
        <v>170</v>
      </c>
      <c r="P1" s="24" t="s">
        <v>172</v>
      </c>
      <c r="Q1" s="24" t="s">
        <v>173</v>
      </c>
      <c r="R1" s="24" t="s">
        <v>174</v>
      </c>
      <c r="S1" s="24" t="s">
        <v>175</v>
      </c>
    </row>
    <row r="2" spans="1:19">
      <c r="A2" t="s">
        <v>0</v>
      </c>
      <c r="B2" cm="1">
        <f t="array" ref="B2:C170">MMULT(NormalizaltAdatok,F7:G12)</f>
        <v>1.1213609792046288</v>
      </c>
      <c r="C2">
        <v>-0.50231447384740036</v>
      </c>
      <c r="M2" t="s">
        <v>0</v>
      </c>
      <c r="N2" s="2">
        <f t="array" ref="N2:S170">MMULT(B2:C170,TRANSPOSE(F7:G12))</f>
        <v>-0.28908589725480494</v>
      </c>
      <c r="O2" s="2">
        <v>-0.35513381346674711</v>
      </c>
      <c r="P2" s="2">
        <v>-0.57575613593876662</v>
      </c>
      <c r="Q2" s="2">
        <v>0.56366026724172136</v>
      </c>
      <c r="R2" s="2">
        <v>0.5783178137960826</v>
      </c>
      <c r="S2" s="2">
        <v>0.56251228979309931</v>
      </c>
    </row>
    <row r="3" spans="1:19">
      <c r="A3" t="s">
        <v>1</v>
      </c>
      <c r="B3">
        <v>0.85179142696859866</v>
      </c>
      <c r="C3">
        <v>-0.49507763327953253</v>
      </c>
      <c r="J3" s="13" t="s">
        <v>179</v>
      </c>
      <c r="K3" s="26" cm="1">
        <f t="array" ref="K3">SUMPRODUCT((NormalizaltAdatok-N2:S170)^2)</f>
        <v>182.58367001276582</v>
      </c>
      <c r="M3" t="s">
        <v>1</v>
      </c>
      <c r="N3" s="2">
        <v>-0.29934970084740636</v>
      </c>
      <c r="O3" s="2">
        <v>-0.35035333233992549</v>
      </c>
      <c r="P3" s="2">
        <v>-0.43935640779641294</v>
      </c>
      <c r="Q3" s="2">
        <v>0.43263548520110018</v>
      </c>
      <c r="R3" s="2">
        <v>0.44156697689954805</v>
      </c>
      <c r="S3" s="2">
        <v>0.42790639856933349</v>
      </c>
    </row>
    <row r="4" spans="1:19">
      <c r="A4" t="s">
        <v>2</v>
      </c>
      <c r="B4">
        <v>1.1114452780677495</v>
      </c>
      <c r="C4">
        <v>-0.53346850272095703</v>
      </c>
      <c r="M4" t="s">
        <v>2</v>
      </c>
      <c r="N4" s="2">
        <v>-0.31153970941400044</v>
      </c>
      <c r="O4" s="2">
        <v>-0.37726489352783027</v>
      </c>
      <c r="P4" s="2">
        <v>-0.57129499384312588</v>
      </c>
      <c r="Q4" s="2">
        <v>0.56007971608119589</v>
      </c>
      <c r="R4" s="2">
        <v>0.57391702424517577</v>
      </c>
      <c r="S4" s="2">
        <v>0.55773241794776784</v>
      </c>
    </row>
    <row r="5" spans="1:19">
      <c r="A5" t="s">
        <v>3</v>
      </c>
      <c r="B5">
        <v>-1.4201994514778846</v>
      </c>
      <c r="C5">
        <v>-0.41670236655145865</v>
      </c>
      <c r="F5" s="47" t="s">
        <v>207</v>
      </c>
      <c r="G5" s="62" t="s">
        <v>208</v>
      </c>
      <c r="H5" s="47" t="s">
        <v>181</v>
      </c>
      <c r="I5" s="47" t="s">
        <v>182</v>
      </c>
      <c r="M5" t="s">
        <v>3</v>
      </c>
      <c r="N5" s="2">
        <v>-0.37364272641130475</v>
      </c>
      <c r="O5" s="2">
        <v>-0.29772225637739191</v>
      </c>
      <c r="P5" s="2">
        <v>0.71055783862885635</v>
      </c>
      <c r="Q5" s="2">
        <v>-0.67235531392118697</v>
      </c>
      <c r="R5" s="2">
        <v>-0.71134702199201549</v>
      </c>
      <c r="S5" s="2">
        <v>-0.70667617720797193</v>
      </c>
    </row>
    <row r="6" spans="1:19">
      <c r="A6" t="s">
        <v>4</v>
      </c>
      <c r="B6">
        <v>0.72016595326562327</v>
      </c>
      <c r="C6">
        <v>-0.49682493086692531</v>
      </c>
      <c r="F6" s="61"/>
      <c r="G6" s="63"/>
      <c r="H6" s="61"/>
      <c r="I6" s="61"/>
      <c r="M6" t="s">
        <v>4</v>
      </c>
      <c r="N6" s="2">
        <v>-0.30807174693203804</v>
      </c>
      <c r="O6" s="2">
        <v>-0.35176831805668946</v>
      </c>
      <c r="P6" s="2">
        <v>-0.37284858947967037</v>
      </c>
      <c r="Q6" s="2">
        <v>0.36886692087557377</v>
      </c>
      <c r="R6" s="2">
        <v>0.37490003345497047</v>
      </c>
      <c r="S6" s="2">
        <v>0.36220981523141299</v>
      </c>
    </row>
    <row r="7" spans="1:19">
      <c r="A7" t="s">
        <v>5</v>
      </c>
      <c r="B7">
        <v>1.6255515651828571</v>
      </c>
      <c r="C7">
        <v>-0.5463694858475695</v>
      </c>
      <c r="F7" s="5">
        <v>5.6937088352821706E-2</v>
      </c>
      <c r="G7" s="25">
        <v>0.70261349170361376</v>
      </c>
      <c r="H7" s="5">
        <f>F7-PCA!B13</f>
        <v>0</v>
      </c>
      <c r="I7" s="5">
        <f>G7-PCA!C13</f>
        <v>0</v>
      </c>
      <c r="M7" t="s">
        <v>5</v>
      </c>
      <c r="N7" s="2">
        <v>-0.29133239912278508</v>
      </c>
      <c r="O7" s="2">
        <v>-0.38574249593112253</v>
      </c>
      <c r="P7" s="2">
        <v>-0.83141213237751843</v>
      </c>
      <c r="Q7" s="2">
        <v>0.80992651665526627</v>
      </c>
      <c r="R7" s="2">
        <v>0.83470167532848316</v>
      </c>
      <c r="S7" s="2">
        <v>0.81443949016849748</v>
      </c>
    </row>
    <row r="8" spans="1:19">
      <c r="A8" t="s">
        <v>6</v>
      </c>
      <c r="B8">
        <v>2.7985714843504521</v>
      </c>
      <c r="C8">
        <v>-0.56720789051973919</v>
      </c>
      <c r="F8" s="5">
        <v>1.3256122587711773E-3</v>
      </c>
      <c r="G8" s="25">
        <v>0.70995426549390483</v>
      </c>
      <c r="H8" s="5">
        <f>F8-PCA!B14</f>
        <v>0</v>
      </c>
      <c r="I8" s="5">
        <f>G8-PCA!C14</f>
        <v>0</v>
      </c>
      <c r="M8" t="s">
        <v>6</v>
      </c>
      <c r="N8" s="2">
        <v>-0.23918540461376595</v>
      </c>
      <c r="O8" s="2">
        <v>-0.39898184062958625</v>
      </c>
      <c r="P8" s="2">
        <v>-1.424760945470763</v>
      </c>
      <c r="Q8" s="2">
        <v>1.3796549736775197</v>
      </c>
      <c r="R8" s="2">
        <v>1.4295534826898886</v>
      </c>
      <c r="S8" s="2">
        <v>1.4001129308567475</v>
      </c>
    </row>
    <row r="9" spans="1:19">
      <c r="A9" t="s">
        <v>7</v>
      </c>
      <c r="B9">
        <v>0.64330418867107264</v>
      </c>
      <c r="C9">
        <v>-0.48497188139634767</v>
      </c>
      <c r="F9" s="5">
        <v>-0.50551570427198955</v>
      </c>
      <c r="G9" s="25">
        <v>1.7699173039779331E-2</v>
      </c>
      <c r="H9" s="5">
        <f>F9-PCA!B15</f>
        <v>0</v>
      </c>
      <c r="I9" s="5">
        <f>G9-PCA!C15</f>
        <v>0</v>
      </c>
      <c r="M9" t="s">
        <v>7</v>
      </c>
      <c r="N9" s="2">
        <v>-0.30411991953785356</v>
      </c>
      <c r="O9" s="2">
        <v>-0.34345508392331991</v>
      </c>
      <c r="P9" s="2">
        <v>-0.3337839712454394</v>
      </c>
      <c r="Q9" s="2">
        <v>0.33112208297576529</v>
      </c>
      <c r="R9" s="2">
        <v>0.33571247633796059</v>
      </c>
      <c r="S9" s="2">
        <v>0.32377653514549665</v>
      </c>
    </row>
    <row r="10" spans="1:19">
      <c r="A10" t="s">
        <v>8</v>
      </c>
      <c r="B10">
        <v>1.3014715633865865</v>
      </c>
      <c r="C10">
        <v>-0.50411095088478997</v>
      </c>
      <c r="F10" s="5">
        <v>0.48499324424051193</v>
      </c>
      <c r="G10" s="25">
        <v>-3.9433002638439997E-2</v>
      </c>
      <c r="H10" s="5">
        <f>F10-PCA!B16</f>
        <v>0</v>
      </c>
      <c r="I10" s="5">
        <f>G10-PCA!C16</f>
        <v>0</v>
      </c>
      <c r="M10" t="s">
        <v>8</v>
      </c>
      <c r="N10" s="2">
        <v>-0.28009315401396412</v>
      </c>
      <c r="O10" s="2">
        <v>-0.35617047320397766</v>
      </c>
      <c r="P10" s="2">
        <v>-0.66683666090629523</v>
      </c>
      <c r="Q10" s="2">
        <v>0.6510835242699381</v>
      </c>
      <c r="R10" s="2">
        <v>0.66962584311531514</v>
      </c>
      <c r="S10" s="2">
        <v>0.65243148492829495</v>
      </c>
    </row>
    <row r="11" spans="1:19">
      <c r="A11" t="s">
        <v>9</v>
      </c>
      <c r="B11">
        <v>0.21795690054451528</v>
      </c>
      <c r="C11">
        <v>-0.45213069069462813</v>
      </c>
      <c r="F11" s="5">
        <v>0.50675558265695864</v>
      </c>
      <c r="G11" s="25">
        <v>-2.0031032220504903E-2</v>
      </c>
      <c r="H11" s="5">
        <f>F11-PCA!B17</f>
        <v>0</v>
      </c>
      <c r="I11" s="5">
        <f>G11-PCA!C17</f>
        <v>0</v>
      </c>
      <c r="M11" t="s">
        <v>9</v>
      </c>
      <c r="N11" s="2">
        <v>-0.30526329199190905</v>
      </c>
      <c r="O11" s="2">
        <v>-0.320703186080111</v>
      </c>
      <c r="P11" s="2">
        <v>-0.11818297541089978</v>
      </c>
      <c r="Q11" s="2">
        <v>0.12353649501877204</v>
      </c>
      <c r="R11" s="2">
        <v>0.11950752056272385</v>
      </c>
      <c r="S11" s="2">
        <v>0.11126828934496553</v>
      </c>
    </row>
    <row r="12" spans="1:19">
      <c r="A12" t="s">
        <v>10</v>
      </c>
      <c r="B12">
        <v>1.8894283237308245</v>
      </c>
      <c r="C12">
        <v>-0.52826506084364089</v>
      </c>
      <c r="F12" s="5">
        <v>0.49918995977834552</v>
      </c>
      <c r="G12" s="25">
        <v>-5.4550442593199501E-3</v>
      </c>
      <c r="H12" s="5">
        <f>F12-PCA!B18</f>
        <v>0</v>
      </c>
      <c r="I12" s="5">
        <f>G12-PCA!C18</f>
        <v>0</v>
      </c>
      <c r="M12" t="s">
        <v>10</v>
      </c>
      <c r="N12" s="2">
        <v>-0.26358761153978671</v>
      </c>
      <c r="O12" s="2">
        <v>-0.372539383909333</v>
      </c>
      <c r="P12" s="2">
        <v>-0.96448554446497359</v>
      </c>
      <c r="Q12" s="2">
        <v>0.93719105002416769</v>
      </c>
      <c r="R12" s="2">
        <v>0.96806004553550062</v>
      </c>
      <c r="S12" s="2">
        <v>0.94606535821481141</v>
      </c>
    </row>
    <row r="13" spans="1:19">
      <c r="A13" t="s">
        <v>11</v>
      </c>
      <c r="B13">
        <v>2.0458895640791175</v>
      </c>
      <c r="C13">
        <v>-0.55248066438982857</v>
      </c>
      <c r="M13" t="s">
        <v>11</v>
      </c>
      <c r="N13" s="2">
        <v>-0.27169337383558123</v>
      </c>
      <c r="O13" s="2">
        <v>-0.38952394800022999</v>
      </c>
      <c r="P13" s="2">
        <v>-1.0440077547283366</v>
      </c>
      <c r="Q13" s="2">
        <v>1.0140285885371092</v>
      </c>
      <c r="R13" s="2">
        <v>1.047832716086303</v>
      </c>
      <c r="S13" s="2">
        <v>1.0243013356802564</v>
      </c>
    </row>
    <row r="14" spans="1:19">
      <c r="A14" t="s">
        <v>12</v>
      </c>
      <c r="B14">
        <v>-3.6287964037703346E-2</v>
      </c>
      <c r="C14">
        <v>-0.46717617405447914</v>
      </c>
      <c r="G14" s="13" t="s">
        <v>183</v>
      </c>
      <c r="H14" s="27">
        <f>CORREL(B2:B170,C2:C170)</f>
        <v>-4.9615883856631396E-17</v>
      </c>
      <c r="M14" t="s">
        <v>12</v>
      </c>
      <c r="N14" s="2">
        <v>-0.33031041390771149</v>
      </c>
      <c r="O14" s="2">
        <v>-0.33172182127707461</v>
      </c>
      <c r="P14" s="2">
        <v>1.0075503752463943E-2</v>
      </c>
      <c r="Q14" s="2">
        <v>8.2274189857780775E-4</v>
      </c>
      <c r="R14" s="2">
        <v>-9.0311073642236426E-3</v>
      </c>
      <c r="S14" s="2">
        <v>-1.5566120602052237E-2</v>
      </c>
    </row>
    <row r="15" spans="1:19">
      <c r="A15" t="s">
        <v>13</v>
      </c>
      <c r="B15">
        <v>2.9777267674339236</v>
      </c>
      <c r="C15">
        <v>-0.59441770901595592</v>
      </c>
      <c r="M15" t="s">
        <v>13</v>
      </c>
      <c r="N15" s="2">
        <v>-0.24810281001421597</v>
      </c>
      <c r="O15" s="2">
        <v>-0.41806207689481117</v>
      </c>
      <c r="P15" s="2">
        <v>-1.5158083458586973</v>
      </c>
      <c r="Q15" s="2">
        <v>1.4676170404875528</v>
      </c>
      <c r="R15" s="2">
        <v>1.5208864633059371</v>
      </c>
      <c r="S15" s="2">
        <v>1.4896938801774486</v>
      </c>
    </row>
    <row r="16" spans="1:19">
      <c r="A16" t="s">
        <v>14</v>
      </c>
      <c r="B16">
        <v>8.6680214328685376E-2</v>
      </c>
      <c r="C16">
        <v>-0.41128383544137276</v>
      </c>
      <c r="E16" t="s">
        <v>206</v>
      </c>
      <c r="M16" t="s">
        <v>14</v>
      </c>
      <c r="N16" s="2">
        <v>-0.28403825267904353</v>
      </c>
      <c r="O16" s="2">
        <v>-0.29187780894558879</v>
      </c>
      <c r="P16" s="2">
        <v>-5.109759336475337E-2</v>
      </c>
      <c r="Q16" s="2">
        <v>5.82574749268394E-2</v>
      </c>
      <c r="R16" s="2">
        <v>5.2164122276461986E-2</v>
      </c>
      <c r="S16" s="2">
        <v>4.5513464229790371E-2</v>
      </c>
    </row>
    <row r="17" spans="1:19">
      <c r="A17" t="s">
        <v>15</v>
      </c>
      <c r="B17">
        <v>-0.85361616790264994</v>
      </c>
      <c r="C17">
        <v>-0.41090863877561096</v>
      </c>
      <c r="M17" t="s">
        <v>15</v>
      </c>
      <c r="N17" s="2">
        <v>-0.33731237263258124</v>
      </c>
      <c r="O17" s="2">
        <v>-0.29285790488349617</v>
      </c>
      <c r="P17" s="2">
        <v>0.42424363519403524</v>
      </c>
      <c r="Q17" s="2">
        <v>-0.39779471317026327</v>
      </c>
      <c r="R17" s="2">
        <v>-0.42434383434790951</v>
      </c>
      <c r="S17" s="2">
        <v>-0.42387509571041138</v>
      </c>
    </row>
    <row r="18" spans="1:19" ht="18.75">
      <c r="A18" t="s">
        <v>16</v>
      </c>
      <c r="B18">
        <v>-1.6735356696780856</v>
      </c>
      <c r="C18">
        <v>-0.35492075887208729</v>
      </c>
      <c r="E18" t="s">
        <v>209</v>
      </c>
      <c r="I18" t="s">
        <v>210</v>
      </c>
      <c r="M18" t="s">
        <v>16</v>
      </c>
      <c r="N18" s="2">
        <v>-0.34465836195527344</v>
      </c>
      <c r="O18" s="2">
        <v>-0.25419596607278816</v>
      </c>
      <c r="P18" s="2">
        <v>0.83971675875492624</v>
      </c>
      <c r="Q18" s="2">
        <v>-0.79765790256835234</v>
      </c>
      <c r="R18" s="2">
        <v>-0.84096411422822892</v>
      </c>
      <c r="S18" s="2">
        <v>-0.83347609518603138</v>
      </c>
    </row>
    <row r="19" spans="1:19">
      <c r="A19" t="s">
        <v>17</v>
      </c>
      <c r="B19">
        <v>-0.79462364293407972</v>
      </c>
      <c r="C19">
        <v>-0.40925056609901073</v>
      </c>
      <c r="M19" t="s">
        <v>17</v>
      </c>
      <c r="N19" s="2">
        <v>-0.33278852579348528</v>
      </c>
      <c r="O19" s="2">
        <v>-0.29160254789997075</v>
      </c>
      <c r="P19" s="2">
        <v>0.39445133390298126</v>
      </c>
      <c r="Q19" s="2">
        <v>-0.36924911988404813</v>
      </c>
      <c r="R19" s="2">
        <v>-0.39448225589226543</v>
      </c>
      <c r="S19" s="2">
        <v>-0.39443566440396383</v>
      </c>
    </row>
    <row r="20" spans="1:19">
      <c r="A20" t="s">
        <v>18</v>
      </c>
      <c r="B20">
        <v>-2.2274693215242616</v>
      </c>
      <c r="C20">
        <v>-0.37891255944792523</v>
      </c>
      <c r="M20" t="s">
        <v>18</v>
      </c>
      <c r="N20" s="2">
        <v>-0.39305469400688653</v>
      </c>
      <c r="O20" s="2">
        <v>-0.27196334846791659</v>
      </c>
      <c r="P20" s="2">
        <v>1.1193142838579733</v>
      </c>
      <c r="Q20" s="2">
        <v>-1.0653659127358155</v>
      </c>
      <c r="R20" s="2">
        <v>-1.1211925041924722</v>
      </c>
      <c r="S20" s="2">
        <v>-1.1098633362369941</v>
      </c>
    </row>
    <row r="21" spans="1:19">
      <c r="A21" t="s">
        <v>19</v>
      </c>
      <c r="B21">
        <v>-0.23489865762489476</v>
      </c>
      <c r="C21">
        <v>-0.39035661165766511</v>
      </c>
      <c r="M21" t="s">
        <v>19</v>
      </c>
      <c r="N21" s="2">
        <v>-0.28764426754953148</v>
      </c>
      <c r="O21" s="2">
        <v>-0.27744672605022358</v>
      </c>
      <c r="P21" s="2">
        <v>0.11183597112484266</v>
      </c>
      <c r="Q21" s="2">
        <v>-9.8531328731809767E-2</v>
      </c>
      <c r="R21" s="2">
        <v>-0.11121696024443917</v>
      </c>
      <c r="S21" s="2">
        <v>-0.11512963885824783</v>
      </c>
    </row>
    <row r="22" spans="1:19">
      <c r="A22" t="s">
        <v>20</v>
      </c>
      <c r="B22">
        <v>-0.25250728606978151</v>
      </c>
      <c r="C22">
        <v>-0.43797136325490765</v>
      </c>
      <c r="M22" t="s">
        <v>20</v>
      </c>
      <c r="N22" s="2">
        <v>-0.32210161845940882</v>
      </c>
      <c r="O22" s="2">
        <v>-0.31127436426084532</v>
      </c>
      <c r="P22" s="2">
        <v>0.11989466760665766</v>
      </c>
      <c r="Q22" s="2">
        <v>-0.10519380194255842</v>
      </c>
      <c r="R22" s="2">
        <v>-0.11918645838840194</v>
      </c>
      <c r="S22" s="2">
        <v>-0.1236599488060432</v>
      </c>
    </row>
    <row r="23" spans="1:19">
      <c r="A23" t="s">
        <v>21</v>
      </c>
      <c r="B23">
        <v>-2.2376256328800661</v>
      </c>
      <c r="C23">
        <v>-0.36433864273711575</v>
      </c>
      <c r="M23" t="s">
        <v>21</v>
      </c>
      <c r="N23" s="2">
        <v>-0.38339313429591126</v>
      </c>
      <c r="O23" s="2">
        <v>-0.26162999746496163</v>
      </c>
      <c r="P23" s="2">
        <v>1.1247064050195406</v>
      </c>
      <c r="Q23" s="2">
        <v>-1.0708663484258936</v>
      </c>
      <c r="R23" s="2">
        <v>-1.1266312022664415</v>
      </c>
      <c r="S23" s="2">
        <v>-1.1150127662548837</v>
      </c>
    </row>
    <row r="24" spans="1:19">
      <c r="A24" t="s">
        <v>22</v>
      </c>
      <c r="B24">
        <v>-2.0197595887532298</v>
      </c>
      <c r="C24">
        <v>-0.36347917968625082</v>
      </c>
      <c r="M24" t="s">
        <v>22</v>
      </c>
      <c r="N24" s="2">
        <v>-0.37038460575722343</v>
      </c>
      <c r="O24" s="2">
        <v>-0.2607310121071012</v>
      </c>
      <c r="P24" s="2">
        <v>1.0145869100710689</v>
      </c>
      <c r="Q24" s="2">
        <v>-0.96523668008372521</v>
      </c>
      <c r="R24" s="2">
        <v>-1.0162435840658441</v>
      </c>
      <c r="S24" s="2">
        <v>-1.0062609128591227</v>
      </c>
    </row>
    <row r="25" spans="1:19">
      <c r="A25" t="s">
        <v>23</v>
      </c>
      <c r="B25">
        <v>1.8700015831629704</v>
      </c>
      <c r="C25">
        <v>-0.52953566971078392</v>
      </c>
      <c r="M25" t="s">
        <v>23</v>
      </c>
      <c r="N25" s="2">
        <v>-0.26558646051663892</v>
      </c>
      <c r="O25" s="2">
        <v>-0.37346721041978026</v>
      </c>
      <c r="P25" s="2">
        <v>-0.95468751075131097</v>
      </c>
      <c r="Q25" s="2">
        <v>0.92781931601395584</v>
      </c>
      <c r="R25" s="2">
        <v>0.95824088790706952</v>
      </c>
      <c r="S25" s="2">
        <v>0.93637465559972655</v>
      </c>
    </row>
    <row r="26" spans="1:19">
      <c r="A26" t="s">
        <v>24</v>
      </c>
      <c r="B26">
        <v>-2.0068461966293758</v>
      </c>
      <c r="C26">
        <v>-0.37278890162201572</v>
      </c>
      <c r="M26" t="s">
        <v>24</v>
      </c>
      <c r="N26" s="2">
        <v>-0.3761904910450104</v>
      </c>
      <c r="O26" s="2">
        <v>-0.26732337075505797</v>
      </c>
      <c r="P26" s="2">
        <v>1.007894213177545</v>
      </c>
      <c r="Q26" s="2">
        <v>-0.95860666185377119</v>
      </c>
      <c r="R26" s="2">
        <v>-1.0095131671759836</v>
      </c>
      <c r="S26" s="2">
        <v>-0.99976389221901241</v>
      </c>
    </row>
    <row r="27" spans="1:19">
      <c r="A27" t="s">
        <v>25</v>
      </c>
      <c r="B27">
        <v>0.66111156462768084</v>
      </c>
      <c r="C27">
        <v>-0.47563086476554611</v>
      </c>
      <c r="M27" t="s">
        <v>25</v>
      </c>
      <c r="N27" s="2">
        <v>-0.29654289508865123</v>
      </c>
      <c r="O27" s="2">
        <v>-0.33679978364636826</v>
      </c>
      <c r="P27" s="2">
        <v>-0.3426205511736643</v>
      </c>
      <c r="Q27" s="2">
        <v>0.33939019567892303</v>
      </c>
      <c r="R27" s="2">
        <v>0.34454935331133923</v>
      </c>
      <c r="S27" s="2">
        <v>0.33261484277388575</v>
      </c>
    </row>
    <row r="28" spans="1:19">
      <c r="A28" t="s">
        <v>26</v>
      </c>
      <c r="B28">
        <v>1.4772460638225151</v>
      </c>
      <c r="C28">
        <v>-0.52142023537970394</v>
      </c>
      <c r="M28" t="s">
        <v>26</v>
      </c>
      <c r="N28" s="2">
        <v>-0.2822468025703333</v>
      </c>
      <c r="O28" s="2">
        <v>-0.3682262647312321</v>
      </c>
      <c r="P28" s="2">
        <v>-0.75599979130869099</v>
      </c>
      <c r="Q28" s="2">
        <v>0.73701552655227187</v>
      </c>
      <c r="R28" s="2">
        <v>0.75904727533539151</v>
      </c>
      <c r="S28" s="2">
        <v>0.74027077364398186</v>
      </c>
    </row>
    <row r="29" spans="1:19">
      <c r="A29" t="s">
        <v>27</v>
      </c>
      <c r="B29">
        <v>1.8779711689474683</v>
      </c>
      <c r="C29">
        <v>-0.5362529866340825</v>
      </c>
      <c r="M29" t="s">
        <v>27</v>
      </c>
      <c r="N29" s="2">
        <v>-0.26985237300505016</v>
      </c>
      <c r="O29" s="2">
        <v>-0.37822563364153722</v>
      </c>
      <c r="P29" s="2">
        <v>-0.95883515247650597</v>
      </c>
      <c r="Q29" s="2">
        <v>0.93194939525479226</v>
      </c>
      <c r="R29" s="2">
        <v>0.96241407478655328</v>
      </c>
      <c r="S29" s="2">
        <v>0.94038963606806059</v>
      </c>
    </row>
    <row r="30" spans="1:19">
      <c r="A30" t="s">
        <v>28</v>
      </c>
      <c r="B30">
        <v>0.89380092137714007</v>
      </c>
      <c r="C30">
        <v>-0.49245677345425365</v>
      </c>
      <c r="M30" t="s">
        <v>28</v>
      </c>
      <c r="N30" s="2">
        <v>-0.29511635107950501</v>
      </c>
      <c r="O30" s="2">
        <v>-0.34843695342693443</v>
      </c>
      <c r="P30" s="2">
        <v>-0.4605464798968964</v>
      </c>
      <c r="Q30" s="2">
        <v>0.45290645781079714</v>
      </c>
      <c r="R30" s="2">
        <v>0.46280302418806712</v>
      </c>
      <c r="S30" s="2">
        <v>0.44886281948709755</v>
      </c>
    </row>
    <row r="31" spans="1:19">
      <c r="A31" t="s">
        <v>29</v>
      </c>
      <c r="B31">
        <v>-0.94563115571113099</v>
      </c>
      <c r="C31">
        <v>-0.30489144202414076</v>
      </c>
      <c r="M31" t="s">
        <v>29</v>
      </c>
      <c r="N31" s="2">
        <v>-0.26806232533303703</v>
      </c>
      <c r="O31" s="2">
        <v>-0.21771252002991295</v>
      </c>
      <c r="P31" s="2">
        <v>0.47263507327011467</v>
      </c>
      <c r="Q31" s="2">
        <v>-0.44660193702547041</v>
      </c>
      <c r="R31" s="2">
        <v>-0.47309657699202562</v>
      </c>
      <c r="S31" s="2">
        <v>-0.47038638227406027</v>
      </c>
    </row>
    <row r="32" spans="1:19">
      <c r="A32" t="s">
        <v>30</v>
      </c>
      <c r="B32">
        <v>-3.3988142235771424</v>
      </c>
      <c r="C32">
        <v>-0.31811257392512871</v>
      </c>
      <c r="M32" t="s">
        <v>30</v>
      </c>
      <c r="N32" s="2">
        <v>-0.41702877206299749</v>
      </c>
      <c r="O32" s="2">
        <v>-0.23035088856544997</v>
      </c>
      <c r="P32" s="2">
        <v>1.7125236364292242</v>
      </c>
      <c r="Q32" s="2">
        <v>-1.6358578028965645</v>
      </c>
      <c r="R32" s="2">
        <v>-1.7159959589935512</v>
      </c>
      <c r="S32" s="2">
        <v>-1.6949186173913346</v>
      </c>
    </row>
    <row r="33" spans="1:19">
      <c r="A33" t="s">
        <v>31</v>
      </c>
      <c r="B33">
        <v>-1.9536869367810508</v>
      </c>
      <c r="C33">
        <v>-0.37702181090519044</v>
      </c>
      <c r="M33" t="s">
        <v>31</v>
      </c>
      <c r="N33" s="2">
        <v>-0.37613785674177175</v>
      </c>
      <c r="O33" s="2">
        <v>-0.27025807418957443</v>
      </c>
      <c r="P33" s="2">
        <v>0.9809464535028769</v>
      </c>
      <c r="Q33" s="2">
        <v>-0.9326578636355759</v>
      </c>
      <c r="R33" s="2">
        <v>-0.98248962593569511</v>
      </c>
      <c r="S33" s="2">
        <v>-0.97320423272599499</v>
      </c>
    </row>
    <row r="34" spans="1:19">
      <c r="A34" t="s">
        <v>32</v>
      </c>
      <c r="B34">
        <v>2.65374782323536</v>
      </c>
      <c r="C34">
        <v>-0.56615669316158601</v>
      </c>
      <c r="M34" t="s">
        <v>32</v>
      </c>
      <c r="N34" s="2">
        <v>-0.24669265675597343</v>
      </c>
      <c r="O34" s="2">
        <v>-0.39842751860182374</v>
      </c>
      <c r="P34" s="2">
        <v>-1.3515317051029783</v>
      </c>
      <c r="Q34" s="2">
        <v>1.3093750245623252</v>
      </c>
      <c r="R34" s="2">
        <v>1.3561422273508448</v>
      </c>
      <c r="S34" s="2">
        <v>1.3278126789616378</v>
      </c>
    </row>
    <row r="35" spans="1:19">
      <c r="A35" t="s">
        <v>33</v>
      </c>
      <c r="B35">
        <v>-1.1318941082835972</v>
      </c>
      <c r="C35">
        <v>-0.18260379869927745</v>
      </c>
      <c r="M35" t="s">
        <v>33</v>
      </c>
      <c r="N35" s="2">
        <v>-0.19274664745182463</v>
      </c>
      <c r="O35" s="2">
        <v>-0.131140798487514</v>
      </c>
      <c r="P35" s="2">
        <v>0.56895831107939865</v>
      </c>
      <c r="Q35" s="2">
        <v>-0.54176037963728541</v>
      </c>
      <c r="R35" s="2">
        <v>-0.56993591577390113</v>
      </c>
      <c r="S35" s="2">
        <v>-0.56403406258361055</v>
      </c>
    </row>
    <row r="36" spans="1:19">
      <c r="A36" t="s">
        <v>34</v>
      </c>
      <c r="B36">
        <v>2.1054954275647715</v>
      </c>
      <c r="C36">
        <v>-0.54372482652150145</v>
      </c>
      <c r="M36" t="s">
        <v>34</v>
      </c>
      <c r="N36" s="2">
        <v>-0.26214761970249628</v>
      </c>
      <c r="O36" s="2">
        <v>-0.38322868929430687</v>
      </c>
      <c r="P36" s="2">
        <v>-1.0739844836974872</v>
      </c>
      <c r="Q36" s="2">
        <v>1.0425917606670101</v>
      </c>
      <c r="R36" s="2">
        <v>1.0778629316962887</v>
      </c>
      <c r="S36" s="2">
        <v>1.0540082207931145</v>
      </c>
    </row>
    <row r="37" spans="1:19">
      <c r="A37" t="s">
        <v>35</v>
      </c>
      <c r="B37">
        <v>1.132452671127004</v>
      </c>
      <c r="C37">
        <v>-0.50112164545898941</v>
      </c>
      <c r="M37" t="s">
        <v>35</v>
      </c>
      <c r="N37" s="2">
        <v>-0.28761627129285372</v>
      </c>
      <c r="O37" s="2">
        <v>-0.35427225658160966</v>
      </c>
      <c r="P37" s="2">
        <v>-0.58134204831642078</v>
      </c>
      <c r="Q37" s="2">
        <v>0.56899262608628287</v>
      </c>
      <c r="R37" s="2">
        <v>0.58391469701497556</v>
      </c>
      <c r="S37" s="2">
        <v>0.5680426441060511</v>
      </c>
    </row>
    <row r="38" spans="1:19">
      <c r="A38" t="s">
        <v>36</v>
      </c>
      <c r="B38">
        <v>-2.8237436863314769</v>
      </c>
      <c r="C38">
        <v>-0.33266235753480028</v>
      </c>
      <c r="M38" t="s">
        <v>36</v>
      </c>
      <c r="N38" s="2">
        <v>-0.39450880434025976</v>
      </c>
      <c r="O38" s="2">
        <v>-0.23991824894731861</v>
      </c>
      <c r="P38" s="2">
        <v>1.4215589296496112</v>
      </c>
      <c r="Q38" s="2">
        <v>-1.356378735715186</v>
      </c>
      <c r="R38" s="2">
        <v>-1.4242843066384869</v>
      </c>
      <c r="S38" s="2">
        <v>-1.407769809320405</v>
      </c>
    </row>
    <row r="39" spans="1:19">
      <c r="A39" t="s">
        <v>37</v>
      </c>
      <c r="B39">
        <v>1.5795044744510325</v>
      </c>
      <c r="C39">
        <v>-0.51452575121187716</v>
      </c>
      <c r="M39" t="s">
        <v>37</v>
      </c>
      <c r="N39" s="2">
        <v>-0.27158034881490623</v>
      </c>
      <c r="O39" s="2">
        <v>-0.36319594128521165</v>
      </c>
      <c r="P39" s="2">
        <v>-0.80757099710699387</v>
      </c>
      <c r="Q39" s="2">
        <v>0.7863382946614943</v>
      </c>
      <c r="R39" s="2">
        <v>0.81072919216051087</v>
      </c>
      <c r="S39" s="2">
        <v>0.79127953581634836</v>
      </c>
    </row>
    <row r="40" spans="1:19">
      <c r="A40" t="s">
        <v>38</v>
      </c>
      <c r="B40">
        <v>-0.82724972956220344</v>
      </c>
      <c r="C40">
        <v>-0.10959945173112015</v>
      </c>
      <c r="M40" t="s">
        <v>38</v>
      </c>
      <c r="N40" s="2">
        <v>-0.12410724441153503</v>
      </c>
      <c r="O40" s="2">
        <v>-7.890721063487488E-2</v>
      </c>
      <c r="P40" s="2">
        <v>0.41624790998719613</v>
      </c>
      <c r="Q40" s="2">
        <v>-0.39688869466817434</v>
      </c>
      <c r="R40" s="2">
        <v>-0.41701802855813014</v>
      </c>
      <c r="S40" s="2">
        <v>-0.41235688936681308</v>
      </c>
    </row>
    <row r="41" spans="1:19">
      <c r="A41" t="s">
        <v>39</v>
      </c>
      <c r="B41">
        <v>0.26266844955401614</v>
      </c>
      <c r="C41">
        <v>-0.45451859077999063</v>
      </c>
      <c r="M41" t="s">
        <v>39</v>
      </c>
      <c r="N41" s="2">
        <v>-0.30439531739237946</v>
      </c>
      <c r="O41" s="2">
        <v>-0.32233921575381169</v>
      </c>
      <c r="P41" s="2">
        <v>-0.14082762945434174</v>
      </c>
      <c r="Q41" s="2">
        <v>0.14531545629827494</v>
      </c>
      <c r="R41" s="2">
        <v>0.14221317973607786</v>
      </c>
      <c r="S41" s="2">
        <v>0.13360087179729827</v>
      </c>
    </row>
    <row r="42" spans="1:19">
      <c r="A42" t="s">
        <v>40</v>
      </c>
      <c r="B42">
        <v>-0.48380598045445034</v>
      </c>
      <c r="C42">
        <v>0.1338565194826925</v>
      </c>
      <c r="M42" t="s">
        <v>40</v>
      </c>
      <c r="N42" s="2">
        <v>6.6502892686268814E-2</v>
      </c>
      <c r="O42" s="2">
        <v>9.4390667832348299E-2</v>
      </c>
      <c r="P42" s="2">
        <v>0.24694067064125866</v>
      </c>
      <c r="Q42" s="2">
        <v>-0.239920996529499</v>
      </c>
      <c r="R42" s="2">
        <v>-0.24785266577279857</v>
      </c>
      <c r="S42" s="2">
        <v>-0.24224128116175669</v>
      </c>
    </row>
    <row r="43" spans="1:19">
      <c r="A43" t="s">
        <v>41</v>
      </c>
      <c r="B43">
        <v>1.4891616742284206</v>
      </c>
      <c r="C43">
        <v>-0.48672925210159346</v>
      </c>
      <c r="M43" t="s">
        <v>41</v>
      </c>
      <c r="N43" s="2">
        <v>-0.25719400951620958</v>
      </c>
      <c r="O43" s="2">
        <v>-0.34358145769953502</v>
      </c>
      <c r="P43" s="2">
        <v>-0.76140931777890353</v>
      </c>
      <c r="Q43" s="2">
        <v>0.74142654746500214</v>
      </c>
      <c r="R43" s="2">
        <v>0.76439068122554465</v>
      </c>
      <c r="S43" s="2">
        <v>0.74602968587405882</v>
      </c>
    </row>
    <row r="44" spans="1:19">
      <c r="A44" t="s">
        <v>42</v>
      </c>
      <c r="B44">
        <v>1.6019763617468541</v>
      </c>
      <c r="C44">
        <v>-0.41056731336612196</v>
      </c>
      <c r="M44" t="s">
        <v>42</v>
      </c>
      <c r="N44" s="2">
        <v>-0.19725826397563023</v>
      </c>
      <c r="O44" s="2">
        <v>-0.28936041589325767</v>
      </c>
      <c r="P44" s="2">
        <v>-0.81709091065928474</v>
      </c>
      <c r="Q44" s="2">
        <v>0.79313761483144218</v>
      </c>
      <c r="R44" s="2">
        <v>0.82003455168242467</v>
      </c>
      <c r="S44" s="2">
        <v>0.80193017845211467</v>
      </c>
    </row>
    <row r="45" spans="1:19">
      <c r="A45" t="s">
        <v>43</v>
      </c>
      <c r="B45">
        <v>0.53547857677678934</v>
      </c>
      <c r="C45">
        <v>-0.47369991701389663</v>
      </c>
      <c r="M45" t="s">
        <v>43</v>
      </c>
      <c r="N45" s="2">
        <v>-0.30233936167586273</v>
      </c>
      <c r="O45" s="2">
        <v>-0.33559543968243999</v>
      </c>
      <c r="P45" s="2">
        <v>-0.27907692666203937</v>
      </c>
      <c r="Q45" s="2">
        <v>0.27838290224970491</v>
      </c>
      <c r="R45" s="2">
        <v>0.28084545647539672</v>
      </c>
      <c r="S45" s="2">
        <v>0.26988958321631817</v>
      </c>
    </row>
    <row r="46" spans="1:19">
      <c r="A46" t="s">
        <v>44</v>
      </c>
      <c r="B46">
        <v>1.5282262722130531</v>
      </c>
      <c r="C46">
        <v>-0.49912502532978203</v>
      </c>
      <c r="M46" t="s">
        <v>44</v>
      </c>
      <c r="N46" s="2">
        <v>-0.26367922255951481</v>
      </c>
      <c r="O46" s="2">
        <v>-0.35233010526701025</v>
      </c>
      <c r="P46" s="2">
        <v>-0.78137648047653485</v>
      </c>
      <c r="Q46" s="2">
        <v>0.76086141613493308</v>
      </c>
      <c r="R46" s="2">
        <v>0.78443518447143878</v>
      </c>
      <c r="S46" s="2">
        <v>0.76559796046235307</v>
      </c>
    </row>
    <row r="47" spans="1:19">
      <c r="A47" t="s">
        <v>45</v>
      </c>
      <c r="B47">
        <v>0.90708102337366037</v>
      </c>
      <c r="C47">
        <v>-0.48400803506624712</v>
      </c>
      <c r="M47" t="s">
        <v>45</v>
      </c>
      <c r="N47" s="2">
        <v>-0.28842402315950699</v>
      </c>
      <c r="O47" s="2">
        <v>-0.34242113130432278</v>
      </c>
      <c r="P47" s="2">
        <v>-0.46711024432777404</v>
      </c>
      <c r="Q47" s="2">
        <v>0.45901405843878862</v>
      </c>
      <c r="R47" s="2">
        <v>0.4693635530621848</v>
      </c>
      <c r="S47" s="2">
        <v>0.45544602482675084</v>
      </c>
    </row>
    <row r="48" spans="1:19">
      <c r="A48" t="s">
        <v>46</v>
      </c>
      <c r="B48">
        <v>1.2398088884280829</v>
      </c>
      <c r="C48">
        <v>-0.43903868577192684</v>
      </c>
      <c r="M48" t="s">
        <v>46</v>
      </c>
      <c r="N48" s="2">
        <v>-0.2378833957821358</v>
      </c>
      <c r="O48" s="2">
        <v>-0.31005388181958388</v>
      </c>
      <c r="P48" s="2">
        <v>-0.63451348506702954</v>
      </c>
      <c r="Q48" s="2">
        <v>0.61861154869138046</v>
      </c>
      <c r="R48" s="2">
        <v>0.63707447369939496</v>
      </c>
      <c r="S48" s="2">
        <v>0.6212951246096895</v>
      </c>
    </row>
    <row r="49" spans="1:19">
      <c r="A49" t="s">
        <v>47</v>
      </c>
      <c r="B49">
        <v>-2.2701582682974313</v>
      </c>
      <c r="C49">
        <v>1.6518421809704378E-2</v>
      </c>
      <c r="M49" t="s">
        <v>47</v>
      </c>
      <c r="N49" s="2">
        <v>-0.11765013587179005</v>
      </c>
      <c r="O49" s="2">
        <v>8.7179743932213477E-3</v>
      </c>
      <c r="P49" s="2">
        <v>1.1478930182132103</v>
      </c>
      <c r="Q49" s="2">
        <v>-1.1016627944517987</v>
      </c>
      <c r="R49" s="2">
        <v>-1.1507462570140792</v>
      </c>
      <c r="S49" s="2">
        <v>-1.1333303233639394</v>
      </c>
    </row>
    <row r="50" spans="1:19">
      <c r="A50" t="s">
        <v>48</v>
      </c>
      <c r="B50">
        <v>3.6159362853144805E-2</v>
      </c>
      <c r="C50">
        <v>-0.45303931598234676</v>
      </c>
      <c r="M50" t="s">
        <v>48</v>
      </c>
      <c r="N50" s="2">
        <v>-0.31625272684382222</v>
      </c>
      <c r="O50" s="2">
        <v>-0.32158926152344058</v>
      </c>
      <c r="P50" s="2">
        <v>-2.6297547026128736E-2</v>
      </c>
      <c r="Q50" s="2">
        <v>3.5401747242265483E-2</v>
      </c>
      <c r="R50" s="2">
        <v>2.7398804126747674E-2</v>
      </c>
      <c r="S50" s="2">
        <v>2.0521740408167694E-2</v>
      </c>
    </row>
    <row r="51" spans="1:19">
      <c r="A51" t="s">
        <v>49</v>
      </c>
      <c r="B51">
        <v>1.0227791669884407</v>
      </c>
      <c r="C51">
        <v>-0.46233774072403611</v>
      </c>
      <c r="M51" t="s">
        <v>49</v>
      </c>
      <c r="N51" s="2">
        <v>-0.26661066656022886</v>
      </c>
      <c r="O51" s="2">
        <v>-0.32688284252406885</v>
      </c>
      <c r="P51" s="2">
        <v>-0.5252139265907757</v>
      </c>
      <c r="Q51" s="2">
        <v>0.51427235168915353</v>
      </c>
      <c r="R51" s="2">
        <v>0.52756015487782471</v>
      </c>
      <c r="S51" s="2">
        <v>0.51308316406949306</v>
      </c>
    </row>
    <row r="52" spans="1:19">
      <c r="A52" t="s">
        <v>50</v>
      </c>
      <c r="B52">
        <v>1.0706929446357631</v>
      </c>
      <c r="C52">
        <v>-0.48373025903061878</v>
      </c>
      <c r="M52" t="s">
        <v>50</v>
      </c>
      <c r="N52" s="2">
        <v>-0.27891326755272727</v>
      </c>
      <c r="O52" s="2">
        <v>-0.34200703705447033</v>
      </c>
      <c r="P52" s="2">
        <v>-0.5498137235257583</v>
      </c>
      <c r="Q52" s="2">
        <v>0.53835378138497325</v>
      </c>
      <c r="R52" s="2">
        <v>0.5522692434102664</v>
      </c>
      <c r="S52" s="2">
        <v>0.53711793794026919</v>
      </c>
    </row>
    <row r="53" spans="1:19">
      <c r="A53" t="s">
        <v>51</v>
      </c>
      <c r="B53">
        <v>-2.8903891429609496</v>
      </c>
      <c r="C53">
        <v>-0.31178750549987128</v>
      </c>
      <c r="M53" t="s">
        <v>51</v>
      </c>
      <c r="N53" s="2">
        <v>-0.38363644991562845</v>
      </c>
      <c r="O53" s="2">
        <v>-0.22518640473786608</v>
      </c>
      <c r="P53" s="2">
        <v>1.4556187222125334</v>
      </c>
      <c r="Q53" s="2">
        <v>-1.3895244900351749</v>
      </c>
      <c r="R53" s="2">
        <v>-1.4584754086779046</v>
      </c>
      <c r="S53" s="2">
        <v>-1.4411524253764383</v>
      </c>
    </row>
    <row r="54" spans="1:19">
      <c r="A54" t="s">
        <v>52</v>
      </c>
      <c r="B54">
        <v>-1.8505238683507352</v>
      </c>
      <c r="C54">
        <v>-0.23945450424849407</v>
      </c>
      <c r="M54" t="s">
        <v>52</v>
      </c>
      <c r="N54" s="2">
        <v>-0.27360740632548342</v>
      </c>
      <c r="O54" s="2">
        <v>-0.17245482380798113</v>
      </c>
      <c r="P54" s="2">
        <v>0.93123072987559974</v>
      </c>
      <c r="Q54" s="2">
        <v>-0.88804916435810788</v>
      </c>
      <c r="R54" s="2">
        <v>-0.93296678023673918</v>
      </c>
      <c r="S54" s="2">
        <v>-0.92245670049210282</v>
      </c>
    </row>
    <row r="55" spans="1:19">
      <c r="A55" t="s">
        <v>53</v>
      </c>
      <c r="B55">
        <v>0.5496011485707295</v>
      </c>
      <c r="C55">
        <v>-0.45537726774244025</v>
      </c>
      <c r="M55" t="s">
        <v>53</v>
      </c>
      <c r="N55" s="2">
        <v>-0.28866152297598346</v>
      </c>
      <c r="O55" s="2">
        <v>-0.32256847562272534</v>
      </c>
      <c r="P55" s="2">
        <v>-0.28589181274858205</v>
      </c>
      <c r="Q55" s="2">
        <v>0.28450973708400296</v>
      </c>
      <c r="R55" s="2">
        <v>0.28763512699552801</v>
      </c>
      <c r="S55" s="2">
        <v>0.27683947839937811</v>
      </c>
    </row>
    <row r="56" spans="1:19">
      <c r="A56" t="s">
        <v>54</v>
      </c>
      <c r="B56">
        <v>2.4424355371334929</v>
      </c>
      <c r="C56">
        <v>-0.46743355511386703</v>
      </c>
      <c r="M56" t="s">
        <v>54</v>
      </c>
      <c r="N56" s="2">
        <v>-0.18935995432414648</v>
      </c>
      <c r="O56" s="2">
        <v>-0.32861872379878765</v>
      </c>
      <c r="P56" s="2">
        <v>-1.2429627080695322</v>
      </c>
      <c r="Q56" s="2">
        <v>1.2029970436147905</v>
      </c>
      <c r="R56" s="2">
        <v>1.247081020325576</v>
      </c>
      <c r="S56" s="2">
        <v>1.2217891682743074</v>
      </c>
    </row>
    <row r="57" spans="1:19">
      <c r="A57" t="s">
        <v>55</v>
      </c>
      <c r="B57">
        <v>1.624234875127355</v>
      </c>
      <c r="C57">
        <v>-0.49733956429222681</v>
      </c>
      <c r="M57" t="s">
        <v>55</v>
      </c>
      <c r="N57" s="2">
        <v>-0.25695828323885483</v>
      </c>
      <c r="O57" s="2">
        <v>-0.35093523940655408</v>
      </c>
      <c r="P57" s="2">
        <v>-0.82987873581106852</v>
      </c>
      <c r="Q57" s="2">
        <v>0.80735453384753464</v>
      </c>
      <c r="R57" s="2">
        <v>0.83305231535378466</v>
      </c>
      <c r="S57" s="2">
        <v>0.81351475132053541</v>
      </c>
    </row>
    <row r="58" spans="1:19">
      <c r="A58" t="s">
        <v>56</v>
      </c>
      <c r="B58">
        <v>0.11293504935306822</v>
      </c>
      <c r="C58">
        <v>-0.42309239029482221</v>
      </c>
      <c r="M58" t="s">
        <v>56</v>
      </c>
      <c r="N58" s="2">
        <v>-0.29084022877512722</v>
      </c>
      <c r="O58" s="2">
        <v>-0.30022653910195368</v>
      </c>
      <c r="P58" s="2">
        <v>-6.4578826438350098E-2</v>
      </c>
      <c r="Q58" s="2">
        <v>7.145653931700649E-2</v>
      </c>
      <c r="R58" s="2">
        <v>6.5705444039552488E-2</v>
      </c>
      <c r="S58" s="2">
        <v>5.8684030458963317E-2</v>
      </c>
    </row>
    <row r="59" spans="1:19">
      <c r="A59" t="s">
        <v>57</v>
      </c>
      <c r="B59">
        <v>-3.7904147127532166</v>
      </c>
      <c r="C59">
        <v>-7.995704491078176E-2</v>
      </c>
      <c r="M59" t="s">
        <v>57</v>
      </c>
      <c r="N59" s="2">
        <v>-0.27199407590493224</v>
      </c>
      <c r="O59" s="2">
        <v>-6.1790465299749527E-2</v>
      </c>
      <c r="P59" s="2">
        <v>1.9146989894267279</v>
      </c>
      <c r="Q59" s="2">
        <v>-1.835172582192222</v>
      </c>
      <c r="R59" s="2">
        <v>-1.9192121941299005</v>
      </c>
      <c r="S59" s="2">
        <v>-1.8917007987836945</v>
      </c>
    </row>
    <row r="60" spans="1:19">
      <c r="A60" t="s">
        <v>58</v>
      </c>
      <c r="B60">
        <v>2.321121295350566</v>
      </c>
      <c r="C60">
        <v>-0.51888708054822741</v>
      </c>
      <c r="M60" t="s">
        <v>58</v>
      </c>
      <c r="N60" s="2">
        <v>-0.23241917519289321</v>
      </c>
      <c r="O60" s="2">
        <v>-0.36530918930168188</v>
      </c>
      <c r="P60" s="2">
        <v>-1.1825471385465831</v>
      </c>
      <c r="Q60" s="2">
        <v>1.1461894229241212</v>
      </c>
      <c r="R60" s="2">
        <v>1.1866350182721159</v>
      </c>
      <c r="S60" s="2">
        <v>1.1615109980566902</v>
      </c>
    </row>
    <row r="61" spans="1:19">
      <c r="A61" t="s">
        <v>59</v>
      </c>
      <c r="B61">
        <v>1.1108457530342184</v>
      </c>
      <c r="C61">
        <v>-0.46628887279694281</v>
      </c>
      <c r="M61" t="s">
        <v>59</v>
      </c>
      <c r="N61" s="2">
        <v>-0.26437253027153612</v>
      </c>
      <c r="O61" s="2">
        <v>-0.32957122344670831</v>
      </c>
      <c r="P61" s="2">
        <v>-0.56980290062879813</v>
      </c>
      <c r="Q61" s="2">
        <v>0.55713985596613713</v>
      </c>
      <c r="R61" s="2">
        <v>0.57226753425592181</v>
      </c>
      <c r="S61" s="2">
        <v>0.55706667321583314</v>
      </c>
    </row>
    <row r="62" spans="1:19">
      <c r="A62" t="s">
        <v>60</v>
      </c>
      <c r="B62">
        <v>2.901784342041279</v>
      </c>
      <c r="C62">
        <v>-0.46777802952121011</v>
      </c>
      <c r="M62" t="s">
        <v>60</v>
      </c>
      <c r="N62" s="2">
        <v>-0.16344800320049463</v>
      </c>
      <c r="O62" s="2">
        <v>-0.32825436646679668</v>
      </c>
      <c r="P62" s="2">
        <v>-1.475176839601132</v>
      </c>
      <c r="Q62" s="2">
        <v>1.4257916944052333</v>
      </c>
      <c r="R62" s="2">
        <v>1.4798654917773513</v>
      </c>
      <c r="S62" s="2">
        <v>1.4510933588435946</v>
      </c>
    </row>
    <row r="63" spans="1:19">
      <c r="A63" t="s">
        <v>61</v>
      </c>
      <c r="B63">
        <v>-0.96697782535387522</v>
      </c>
      <c r="C63">
        <v>-0.21201763128250917</v>
      </c>
      <c r="M63" t="s">
        <v>61</v>
      </c>
      <c r="N63" s="2">
        <v>-0.20402335009552608</v>
      </c>
      <c r="O63" s="2">
        <v>-0.15180465934818033</v>
      </c>
      <c r="P63" s="2">
        <v>0.48506993965560791</v>
      </c>
      <c r="Q63" s="2">
        <v>-0.46061722081325213</v>
      </c>
      <c r="R63" s="2">
        <v>-0.48577447930002676</v>
      </c>
      <c r="S63" s="2">
        <v>-0.48154905618255067</v>
      </c>
    </row>
    <row r="64" spans="1:19">
      <c r="A64" t="s">
        <v>62</v>
      </c>
      <c r="B64">
        <v>2.6032194873887256</v>
      </c>
      <c r="C64">
        <v>-0.54759225550696489</v>
      </c>
      <c r="M64" t="s">
        <v>62</v>
      </c>
      <c r="N64" s="2">
        <v>-0.23652596871636691</v>
      </c>
      <c r="O64" s="2">
        <v>-0.38531459788384342</v>
      </c>
      <c r="P64" s="2">
        <v>-1.3256602626273399</v>
      </c>
      <c r="Q64" s="2">
        <v>1.284137071514976</v>
      </c>
      <c r="R64" s="2">
        <v>1.3301648462293818</v>
      </c>
      <c r="S64" s="2">
        <v>1.3024881711936345</v>
      </c>
    </row>
    <row r="65" spans="1:19">
      <c r="A65" t="s">
        <v>63</v>
      </c>
      <c r="B65">
        <v>2.600049361303312</v>
      </c>
      <c r="C65">
        <v>-0.45447948216789003</v>
      </c>
      <c r="M65" t="s">
        <v>63</v>
      </c>
      <c r="N65" s="2">
        <v>-0.17128417566740717</v>
      </c>
      <c r="O65" s="2">
        <v>-0.3192129896378007</v>
      </c>
      <c r="P65" s="2">
        <v>-1.3224096950190991</v>
      </c>
      <c r="Q65" s="2">
        <v>1.2789278655434073</v>
      </c>
      <c r="R65" s="2">
        <v>1.3266932221749765</v>
      </c>
      <c r="S65" s="2">
        <v>1.3003977417808918</v>
      </c>
    </row>
    <row r="66" spans="1:19">
      <c r="A66" t="s">
        <v>64</v>
      </c>
      <c r="B66">
        <v>-2.1101859037952453</v>
      </c>
      <c r="C66">
        <v>-0.33044184184296405</v>
      </c>
      <c r="M66" t="s">
        <v>64</v>
      </c>
      <c r="N66" s="2">
        <v>-0.35232073754752707</v>
      </c>
      <c r="O66" s="2">
        <v>-0.23739588341643172</v>
      </c>
      <c r="P66" s="2">
        <v>1.0608835659635161</v>
      </c>
      <c r="Q66" s="2">
        <v>-1.0103955934110083</v>
      </c>
      <c r="R66" s="2">
        <v>-1.0627293960113011</v>
      </c>
      <c r="S66" s="2">
        <v>-1.0515810415679956</v>
      </c>
    </row>
    <row r="67" spans="1:19">
      <c r="A67" t="s">
        <v>65</v>
      </c>
      <c r="B67">
        <v>1.9624079151501079</v>
      </c>
      <c r="C67">
        <v>-0.52113557367835617</v>
      </c>
      <c r="M67" t="s">
        <v>65</v>
      </c>
      <c r="N67" s="2">
        <v>-0.25442309222393739</v>
      </c>
      <c r="O67" s="2">
        <v>-0.36738103144452949</v>
      </c>
      <c r="P67" s="2">
        <v>-1.0012516879917515</v>
      </c>
      <c r="Q67" s="2">
        <v>0.9723045217437537</v>
      </c>
      <c r="R67" s="2">
        <v>1.0049000499201228</v>
      </c>
      <c r="S67" s="2">
        <v>0.98245714585201083</v>
      </c>
    </row>
    <row r="68" spans="1:19">
      <c r="A68" t="s">
        <v>66</v>
      </c>
      <c r="B68">
        <v>-0.73504530793837308</v>
      </c>
      <c r="C68">
        <v>-0.34627123080487615</v>
      </c>
      <c r="M68" t="s">
        <v>66</v>
      </c>
      <c r="N68" s="2">
        <v>-0.28514617819373617</v>
      </c>
      <c r="O68" s="2">
        <v>-0.24681112239870159</v>
      </c>
      <c r="P68" s="2">
        <v>0.36544823208157523</v>
      </c>
      <c r="Q68" s="2">
        <v>-0.34283749420285309</v>
      </c>
      <c r="R68" s="2">
        <v>-0.36555214312228751</v>
      </c>
      <c r="S68" s="2">
        <v>-0.36503831281524829</v>
      </c>
    </row>
    <row r="69" spans="1:19">
      <c r="A69" t="s">
        <v>67</v>
      </c>
      <c r="B69">
        <v>2.5942620423240168</v>
      </c>
      <c r="C69">
        <v>-0.54798351988133864</v>
      </c>
      <c r="M69" t="s">
        <v>67</v>
      </c>
      <c r="N69" s="2">
        <v>-0.23731088718568977</v>
      </c>
      <c r="O69" s="2">
        <v>-0.38560425179435087</v>
      </c>
      <c r="P69" s="2">
        <v>-1.3211390585328424</v>
      </c>
      <c r="Q69" s="2">
        <v>1.2798081999020436</v>
      </c>
      <c r="R69" s="2">
        <v>1.3256334483657872</v>
      </c>
      <c r="S69" s="2">
        <v>1.2980188389165452</v>
      </c>
    </row>
    <row r="70" spans="1:19">
      <c r="A70" t="s">
        <v>68</v>
      </c>
      <c r="B70">
        <v>-0.40735433742415417</v>
      </c>
      <c r="C70">
        <v>-0.37284903049854762</v>
      </c>
      <c r="M70" t="s">
        <v>68</v>
      </c>
      <c r="N70" s="2">
        <v>-0.28516232909771594</v>
      </c>
      <c r="O70" s="2">
        <v>-0.265245753491064</v>
      </c>
      <c r="P70" s="2">
        <v>0.19932489526271321</v>
      </c>
      <c r="Q70" s="2">
        <v>-0.18286154485939568</v>
      </c>
      <c r="R70" s="2">
        <v>-0.19896053366591615</v>
      </c>
      <c r="S70" s="2">
        <v>-0.201313287350884</v>
      </c>
    </row>
    <row r="71" spans="1:19">
      <c r="A71" t="s">
        <v>69</v>
      </c>
      <c r="B71">
        <v>-3.999474054788664</v>
      </c>
      <c r="C71">
        <v>-0.26099757861351713</v>
      </c>
      <c r="M71" t="s">
        <v>69</v>
      </c>
      <c r="N71" s="2">
        <v>-0.41109882765815192</v>
      </c>
      <c r="O71" s="2">
        <v>-0.19059809605591235</v>
      </c>
      <c r="P71" s="2">
        <v>2.0171775022171974</v>
      </c>
      <c r="Q71" s="2">
        <v>-1.9294259788816159</v>
      </c>
      <c r="R71" s="2">
        <v>-2.0215277540491372</v>
      </c>
      <c r="S71" s="2">
        <v>-1.9950735392015777</v>
      </c>
    </row>
    <row r="72" spans="1:19">
      <c r="A72" t="s">
        <v>70</v>
      </c>
      <c r="B72">
        <v>-2.5083602077358007</v>
      </c>
      <c r="C72">
        <v>-0.32338909494508922</v>
      </c>
      <c r="M72" t="s">
        <v>70</v>
      </c>
      <c r="N72" s="2">
        <v>-0.37003626794679612</v>
      </c>
      <c r="O72" s="2">
        <v>-0.23291658041126787</v>
      </c>
      <c r="P72" s="2">
        <v>1.2622917574307866</v>
      </c>
      <c r="Q72" s="2">
        <v>-1.2037855518393781</v>
      </c>
      <c r="R72" s="2">
        <v>-1.2646477212040805</v>
      </c>
      <c r="S72" s="2">
        <v>-1.2503841293833298</v>
      </c>
    </row>
    <row r="73" spans="1:19">
      <c r="A73" t="s">
        <v>71</v>
      </c>
      <c r="B73">
        <v>0.41054311225402917</v>
      </c>
      <c r="C73">
        <v>-0.42793832185598296</v>
      </c>
      <c r="M73" t="s">
        <v>71</v>
      </c>
      <c r="N73" s="2">
        <v>-0.27730010909796704</v>
      </c>
      <c r="O73" s="2">
        <v>-0.30327241598760063</v>
      </c>
      <c r="P73" s="2">
        <v>-0.21511014493399183</v>
      </c>
      <c r="Q73" s="2">
        <v>0.21598552888751482</v>
      </c>
      <c r="R73" s="2">
        <v>0.21661706036957773</v>
      </c>
      <c r="S73" s="2">
        <v>0.2072734221793491</v>
      </c>
    </row>
    <row r="74" spans="1:19">
      <c r="A74" t="s">
        <v>72</v>
      </c>
      <c r="B74">
        <v>7.866411719224714E-2</v>
      </c>
      <c r="C74">
        <v>-0.42040394852495122</v>
      </c>
      <c r="M74" t="s">
        <v>72</v>
      </c>
      <c r="N74" s="2">
        <v>-0.29090258040833056</v>
      </c>
      <c r="O74" s="2">
        <v>-0.29836329836769365</v>
      </c>
      <c r="P74" s="2">
        <v>-4.7206748834922728E-2</v>
      </c>
      <c r="Q74" s="2">
        <v>5.4729355413778769E-2</v>
      </c>
      <c r="R74" s="2">
        <v>4.828460558048326E-2</v>
      </c>
      <c r="S74" s="2">
        <v>4.1561659643193381E-2</v>
      </c>
    </row>
    <row r="75" spans="1:19">
      <c r="A75" t="s">
        <v>73</v>
      </c>
      <c r="B75">
        <v>-1.1604197228444701</v>
      </c>
      <c r="C75">
        <v>-0.30111496527014386</v>
      </c>
      <c r="M75" t="s">
        <v>73</v>
      </c>
      <c r="N75" s="2">
        <v>-0.27763835743862064</v>
      </c>
      <c r="O75" s="2">
        <v>-0.21531612060751013</v>
      </c>
      <c r="P75" s="2">
        <v>0.58128090756964579</v>
      </c>
      <c r="Q75" s="2">
        <v>-0.55092185884304401</v>
      </c>
      <c r="R75" s="2">
        <v>-0.58201752920527339</v>
      </c>
      <c r="S75" s="2">
        <v>-0.57762727931003777</v>
      </c>
    </row>
    <row r="76" spans="1:19">
      <c r="A76" t="s">
        <v>74</v>
      </c>
      <c r="B76">
        <v>0.6097074445482602</v>
      </c>
      <c r="C76">
        <v>0.19683975646212357</v>
      </c>
      <c r="M76" t="s">
        <v>74</v>
      </c>
      <c r="N76" s="2">
        <v>0.17301723523355902</v>
      </c>
      <c r="O76" s="2">
        <v>0.14055546038182326</v>
      </c>
      <c r="P76" s="2">
        <v>-0.30473278731995762</v>
      </c>
      <c r="Q76" s="2">
        <v>0.28794200893313193</v>
      </c>
      <c r="R76" s="2">
        <v>0.30502974780836978</v>
      </c>
      <c r="S76" s="2">
        <v>0.30328606513710921</v>
      </c>
    </row>
    <row r="77" spans="1:19">
      <c r="A77" t="s">
        <v>75</v>
      </c>
      <c r="B77">
        <v>-5.4548219042995366E-2</v>
      </c>
      <c r="C77">
        <v>-0.28405946350620526</v>
      </c>
      <c r="M77" t="s">
        <v>75</v>
      </c>
      <c r="N77" s="2">
        <v>-0.20268982827269022</v>
      </c>
      <c r="O77" s="2">
        <v>-0.20174153755799815</v>
      </c>
      <c r="P77" s="2">
        <v>2.2547363768119347E-2</v>
      </c>
      <c r="Q77" s="2">
        <v>-1.5254200147290354E-2</v>
      </c>
      <c r="R77" s="2">
        <v>-2.1952610258000389E-2</v>
      </c>
      <c r="S77" s="2">
        <v>-2.5680366324348208E-2</v>
      </c>
    </row>
    <row r="78" spans="1:19">
      <c r="A78" t="s">
        <v>76</v>
      </c>
      <c r="B78">
        <v>-1.3182593104644873</v>
      </c>
      <c r="C78">
        <v>-0.33062380826944693</v>
      </c>
      <c r="M78" t="s">
        <v>76</v>
      </c>
      <c r="N78" s="2">
        <v>-0.30735859520038855</v>
      </c>
      <c r="O78" s="2">
        <v>-0.23647528365692377</v>
      </c>
      <c r="P78" s="2">
        <v>0.66054901574893088</v>
      </c>
      <c r="Q78" s="2">
        <v>-0.62630937022861177</v>
      </c>
      <c r="R78" s="2">
        <v>-0.66141252881108037</v>
      </c>
      <c r="S78" s="2">
        <v>-0.65625824466090221</v>
      </c>
    </row>
    <row r="79" spans="1:19">
      <c r="A79" t="s">
        <v>77</v>
      </c>
      <c r="B79">
        <v>-1.6152047742357154</v>
      </c>
      <c r="C79">
        <v>-0.19609542504269248</v>
      </c>
      <c r="M79" t="s">
        <v>77</v>
      </c>
      <c r="N79" s="2">
        <v>-0.22974434823490877</v>
      </c>
      <c r="O79" s="2">
        <v>-0.14135991870205242</v>
      </c>
      <c r="P79" s="2">
        <v>0.81304065213110788</v>
      </c>
      <c r="Q79" s="2">
        <v>-0.77563077215624876</v>
      </c>
      <c r="R79" s="2">
        <v>-0.81458604270079749</v>
      </c>
      <c r="S79" s="2">
        <v>-0.80522429706186038</v>
      </c>
    </row>
    <row r="80" spans="1:19">
      <c r="A80" t="s">
        <v>78</v>
      </c>
      <c r="B80">
        <v>1.0510953853137277</v>
      </c>
      <c r="C80">
        <v>-0.4344655758033048</v>
      </c>
      <c r="M80" t="s">
        <v>78</v>
      </c>
      <c r="N80" s="2">
        <v>-0.2454150644193302</v>
      </c>
      <c r="O80" s="2">
        <v>-0.30705734382391198</v>
      </c>
      <c r="P80" s="2">
        <v>-0.5390349053698773</v>
      </c>
      <c r="Q80" s="2">
        <v>0.52690644312649881</v>
      </c>
      <c r="R80" s="2">
        <v>0.54135124836031467</v>
      </c>
      <c r="S80" s="2">
        <v>0.52706629206312228</v>
      </c>
    </row>
    <row r="81" spans="1:19">
      <c r="A81" t="s">
        <v>79</v>
      </c>
      <c r="B81">
        <v>-0.26482765044578449</v>
      </c>
      <c r="C81">
        <v>-0.36921026236992988</v>
      </c>
      <c r="M81" t="s">
        <v>79</v>
      </c>
      <c r="N81" s="2">
        <v>-0.27449062694824555</v>
      </c>
      <c r="O81" s="2">
        <v>-0.26247345941354794</v>
      </c>
      <c r="P81" s="2">
        <v>0.1273398199040493</v>
      </c>
      <c r="Q81" s="2">
        <v>-0.11388055210412069</v>
      </c>
      <c r="R81" s="2">
        <v>-0.12680722764365376</v>
      </c>
      <c r="S81" s="2">
        <v>-0.13018524585200181</v>
      </c>
    </row>
    <row r="82" spans="1:19">
      <c r="A82" t="s">
        <v>80</v>
      </c>
      <c r="B82">
        <v>2.1613711352788711</v>
      </c>
      <c r="C82">
        <v>-0.51434145060306535</v>
      </c>
      <c r="M82" t="s">
        <v>80</v>
      </c>
      <c r="N82" s="2">
        <v>-0.23832106324350988</v>
      </c>
      <c r="O82" s="2">
        <v>-0.36229376670328894</v>
      </c>
      <c r="P82" s="2">
        <v>-1.1017104699794029</v>
      </c>
      <c r="Q82" s="2">
        <v>1.0685324266853877</v>
      </c>
      <c r="R82" s="2">
        <v>1.1055896791655477</v>
      </c>
      <c r="S82" s="2">
        <v>1.0817405254633792</v>
      </c>
    </row>
    <row r="83" spans="1:19">
      <c r="A83" t="s">
        <v>81</v>
      </c>
      <c r="B83">
        <v>2.3115368679292052</v>
      </c>
      <c r="C83">
        <v>-0.50102479607768924</v>
      </c>
      <c r="M83" t="s">
        <v>81</v>
      </c>
      <c r="N83" s="2">
        <v>-0.22041460252214634</v>
      </c>
      <c r="O83" s="2">
        <v>-0.35264048948484084</v>
      </c>
      <c r="P83" s="2">
        <v>-1.1773859123049002</v>
      </c>
      <c r="Q83" s="2">
        <v>1.1408366768641924</v>
      </c>
      <c r="R83" s="2">
        <v>1.1814202561740097</v>
      </c>
      <c r="S83" s="2">
        <v>1.1566291085653633</v>
      </c>
    </row>
    <row r="84" spans="1:19">
      <c r="A84" t="s">
        <v>82</v>
      </c>
      <c r="B84">
        <v>2.6691376854360405</v>
      </c>
      <c r="C84">
        <v>-0.5335425957861748</v>
      </c>
      <c r="M84" t="s">
        <v>82</v>
      </c>
      <c r="N84" s="2">
        <v>-0.22290129797641622</v>
      </c>
      <c r="O84" s="2">
        <v>-0.37525260006492295</v>
      </c>
      <c r="P84" s="2">
        <v>-1.3587342795790207</v>
      </c>
      <c r="Q84" s="2">
        <v>1.3155529319715926</v>
      </c>
      <c r="R84" s="2">
        <v>1.3632878319019912</v>
      </c>
      <c r="S84" s="2">
        <v>1.3353172323099294</v>
      </c>
    </row>
    <row r="85" spans="1:19">
      <c r="A85" t="s">
        <v>83</v>
      </c>
      <c r="B85">
        <v>2.3606578075712266</v>
      </c>
      <c r="C85">
        <v>-0.49842596143025036</v>
      </c>
      <c r="M85" t="s">
        <v>83</v>
      </c>
      <c r="N85" s="2">
        <v>-0.21579182295577759</v>
      </c>
      <c r="O85" s="2">
        <v>-0.35073032042182645</v>
      </c>
      <c r="P85" s="2">
        <v>-1.2021713214784118</v>
      </c>
      <c r="Q85" s="2">
        <v>1.1645575208878094</v>
      </c>
      <c r="R85" s="2">
        <v>1.2062605092224008</v>
      </c>
      <c r="S85" s="2">
        <v>1.1811356116915139</v>
      </c>
    </row>
    <row r="86" spans="1:19">
      <c r="A86" t="s">
        <v>84</v>
      </c>
      <c r="B86">
        <v>-3.5075861790640852</v>
      </c>
      <c r="C86">
        <v>-0.28785924585717693</v>
      </c>
      <c r="M86" t="s">
        <v>84</v>
      </c>
      <c r="N86" s="2">
        <v>-0.40196553403338819</v>
      </c>
      <c r="O86" s="2">
        <v>-0.20901659869582512</v>
      </c>
      <c r="P86" s="2">
        <v>1.7680450270007513</v>
      </c>
      <c r="Q86" s="2">
        <v>-1.6898044460360866</v>
      </c>
      <c r="R86" s="2">
        <v>-1.7717227600623804</v>
      </c>
      <c r="S86" s="2">
        <v>-1.7493815187194761</v>
      </c>
    </row>
    <row r="87" spans="1:19">
      <c r="A87" t="s">
        <v>85</v>
      </c>
      <c r="B87">
        <v>-2.5387720875122279</v>
      </c>
      <c r="C87">
        <v>-0.28156992816777732</v>
      </c>
      <c r="M87" t="s">
        <v>85</v>
      </c>
      <c r="N87" s="2">
        <v>-0.34238512104305907</v>
      </c>
      <c r="O87" s="2">
        <v>-0.2032671989389582</v>
      </c>
      <c r="P87" s="2">
        <v>1.2784056049233734</v>
      </c>
      <c r="Q87" s="2">
        <v>-1.220184163389467</v>
      </c>
      <c r="R87" s="2">
        <v>-1.2808967921370282</v>
      </c>
      <c r="S87" s="2">
        <v>-1.2657935598313665</v>
      </c>
    </row>
    <row r="88" spans="1:19">
      <c r="A88" t="s">
        <v>86</v>
      </c>
      <c r="B88">
        <v>0.28772270105463305</v>
      </c>
      <c r="C88">
        <v>-0.41234347785010411</v>
      </c>
      <c r="M88" t="s">
        <v>86</v>
      </c>
      <c r="N88" s="2">
        <v>-0.27333599790241325</v>
      </c>
      <c r="O88" s="2">
        <v>-0.29236360220862811</v>
      </c>
      <c r="P88" s="2">
        <v>-0.15274648242496536</v>
      </c>
      <c r="Q88" s="2">
        <v>0.15580350767613613</v>
      </c>
      <c r="R88" s="2">
        <v>0.15406475050730498</v>
      </c>
      <c r="S88" s="2">
        <v>0.14587763548849345</v>
      </c>
    </row>
    <row r="89" spans="1:19">
      <c r="A89" t="s">
        <v>87</v>
      </c>
      <c r="B89">
        <v>2.7453803679972406</v>
      </c>
      <c r="C89">
        <v>-0.40302712570194343</v>
      </c>
      <c r="M89" t="s">
        <v>87</v>
      </c>
      <c r="N89" s="2">
        <v>-0.12685833146595268</v>
      </c>
      <c r="O89" s="2">
        <v>-0.28249151713103604</v>
      </c>
      <c r="P89" s="2">
        <v>-1.3949661370601425</v>
      </c>
      <c r="Q89" s="2">
        <v>1.3473835010603599</v>
      </c>
      <c r="R89" s="2">
        <v>1.3993098773400903</v>
      </c>
      <c r="S89" s="2">
        <v>1.3726648462852127</v>
      </c>
    </row>
    <row r="90" spans="1:19">
      <c r="A90" t="s">
        <v>88</v>
      </c>
      <c r="B90">
        <v>0.73801077816813221</v>
      </c>
      <c r="C90">
        <v>-0.3672393985602963</v>
      </c>
      <c r="M90" t="s">
        <v>88</v>
      </c>
      <c r="N90" s="2">
        <v>-0.21600717123169122</v>
      </c>
      <c r="O90" s="2">
        <v>-0.25974486133065361</v>
      </c>
      <c r="P90" s="2">
        <v>-0.37957587194812559</v>
      </c>
      <c r="Q90" s="2">
        <v>0.37241159376059452</v>
      </c>
      <c r="R90" s="2">
        <v>0.38134726612290742</v>
      </c>
      <c r="S90" s="2">
        <v>0.37041087784264787</v>
      </c>
    </row>
    <row r="91" spans="1:19">
      <c r="A91" t="s">
        <v>89</v>
      </c>
      <c r="B91">
        <v>1.6421455884088585</v>
      </c>
      <c r="C91">
        <v>-0.46104603117552168</v>
      </c>
      <c r="M91" t="s">
        <v>89</v>
      </c>
      <c r="N91" s="2">
        <v>-0.23043817334489489</v>
      </c>
      <c r="O91" s="2">
        <v>-0.32514474809941568</v>
      </c>
      <c r="P91" s="2">
        <v>-0.83829051712672387</v>
      </c>
      <c r="Q91" s="2">
        <v>0.8146099458014433</v>
      </c>
      <c r="R91" s="2">
        <v>0.84140167236729813</v>
      </c>
      <c r="S91" s="2">
        <v>0.82225761673365183</v>
      </c>
    </row>
    <row r="92" spans="1:19">
      <c r="A92" t="s">
        <v>90</v>
      </c>
      <c r="B92">
        <v>0.55195321181161972</v>
      </c>
      <c r="C92">
        <v>-0.42454866199668717</v>
      </c>
      <c r="M92" t="s">
        <v>90</v>
      </c>
      <c r="N92" s="2">
        <v>-0.26686700901604782</v>
      </c>
      <c r="O92" s="2">
        <v>-0.30067845755043249</v>
      </c>
      <c r="P92" s="2">
        <v>-0.28653517682662372</v>
      </c>
      <c r="Q92" s="2">
        <v>0.28443480737414945</v>
      </c>
      <c r="R92" s="2">
        <v>0.28820951937860495</v>
      </c>
      <c r="S92" s="2">
        <v>0.27784543334519801</v>
      </c>
    </row>
    <row r="93" spans="1:19">
      <c r="A93" t="s">
        <v>91</v>
      </c>
      <c r="B93">
        <v>-0.72593283995964086</v>
      </c>
      <c r="C93">
        <v>4.3711909103275803E-3</v>
      </c>
      <c r="M93" t="s">
        <v>91</v>
      </c>
      <c r="N93" s="2">
        <v>-3.8261244538588493E-2</v>
      </c>
      <c r="O93" s="2">
        <v>2.1410401603801756E-3</v>
      </c>
      <c r="P93" s="2">
        <v>0.3670478173106751</v>
      </c>
      <c r="Q93" s="2">
        <v>-0.35224489233545464</v>
      </c>
      <c r="R93" s="2">
        <v>-0.36795807874953523</v>
      </c>
      <c r="S93" s="2">
        <v>-0.36240223022111506</v>
      </c>
    </row>
    <row r="94" spans="1:19">
      <c r="A94" t="s">
        <v>92</v>
      </c>
      <c r="B94">
        <v>-2.2248211512993379</v>
      </c>
      <c r="C94">
        <v>-0.32593398764462739</v>
      </c>
      <c r="M94" t="s">
        <v>92</v>
      </c>
      <c r="N94" s="2">
        <v>-0.35568045558463107</v>
      </c>
      <c r="O94" s="2">
        <v>-0.2343474749894767</v>
      </c>
      <c r="P94" s="2">
        <v>1.1189132691314359</v>
      </c>
      <c r="Q94" s="2">
        <v>-1.0661706722288289</v>
      </c>
      <c r="R94" s="2">
        <v>-1.1209117446259542</v>
      </c>
      <c r="S94" s="2">
        <v>-1.1088303967029107</v>
      </c>
    </row>
    <row r="95" spans="1:19">
      <c r="A95" t="s">
        <v>93</v>
      </c>
      <c r="B95">
        <v>-2.9534929215595973</v>
      </c>
      <c r="C95">
        <v>-0.21431216197731082</v>
      </c>
      <c r="M95" t="s">
        <v>93</v>
      </c>
      <c r="N95" s="2">
        <v>-0.31874190386570111</v>
      </c>
      <c r="O95" s="2">
        <v>-0.15606701996602576</v>
      </c>
      <c r="P95" s="2">
        <v>1.4892439062651703</v>
      </c>
      <c r="Q95" s="2">
        <v>-1.4239731418198758</v>
      </c>
      <c r="R95" s="2">
        <v>-1.4924061325163231</v>
      </c>
      <c r="S95" s="2">
        <v>-1.4731849303900668</v>
      </c>
    </row>
    <row r="96" spans="1:19">
      <c r="A96" t="s">
        <v>94</v>
      </c>
      <c r="B96">
        <v>1.9649317113492677</v>
      </c>
      <c r="C96">
        <v>-0.47664148894401487</v>
      </c>
      <c r="M96" t="s">
        <v>94</v>
      </c>
      <c r="N96" s="2">
        <v>-0.22301725038140929</v>
      </c>
      <c r="O96" s="2">
        <v>-0.3357889206229564</v>
      </c>
      <c r="P96" s="2">
        <v>-1.0017399980998489</v>
      </c>
      <c r="Q96" s="2">
        <v>0.97177401048946177</v>
      </c>
      <c r="R96" s="2">
        <v>1.0052877352886</v>
      </c>
      <c r="S96" s="2">
        <v>0.98347428237365431</v>
      </c>
    </row>
    <row r="97" spans="1:19">
      <c r="A97" t="s">
        <v>95</v>
      </c>
      <c r="B97">
        <v>1.7442735980387987</v>
      </c>
      <c r="C97">
        <v>-0.44941511255346606</v>
      </c>
      <c r="M97" t="s">
        <v>95</v>
      </c>
      <c r="N97" s="2">
        <v>-0.21645126149253405</v>
      </c>
      <c r="O97" s="2">
        <v>-0.31675194567054543</v>
      </c>
      <c r="P97" s="2">
        <v>-0.88971197219939624</v>
      </c>
      <c r="Q97" s="2">
        <v>0.86368269847498325</v>
      </c>
      <c r="R97" s="2">
        <v>0.89292263208724143</v>
      </c>
      <c r="S97" s="2">
        <v>0.87317544657720436</v>
      </c>
    </row>
    <row r="98" spans="1:19">
      <c r="A98" t="s">
        <v>96</v>
      </c>
      <c r="B98">
        <v>0.72311727138307158</v>
      </c>
      <c r="C98">
        <v>-0.38749193854610703</v>
      </c>
      <c r="M98" t="s">
        <v>96</v>
      </c>
      <c r="N98" s="2">
        <v>-0.2310848719786931</v>
      </c>
      <c r="O98" s="2">
        <v>-0.27414298149583616</v>
      </c>
      <c r="P98" s="2">
        <v>-0.37240542358629991</v>
      </c>
      <c r="Q98" s="2">
        <v>0.36598696204948544</v>
      </c>
      <c r="R98" s="2">
        <v>0.37420557769524154</v>
      </c>
      <c r="S98" s="2">
        <v>0.36308666729164119</v>
      </c>
    </row>
    <row r="99" spans="1:19">
      <c r="A99" t="s">
        <v>97</v>
      </c>
      <c r="B99">
        <v>-2.2800201331921297</v>
      </c>
      <c r="C99">
        <v>-0.32290023317306477</v>
      </c>
      <c r="M99" t="s">
        <v>97</v>
      </c>
      <c r="N99" s="2">
        <v>-0.35669176807141068</v>
      </c>
      <c r="O99" s="2">
        <v>-0.23226682050899838</v>
      </c>
      <c r="P99" s="2">
        <v>1.1468709162834196</v>
      </c>
      <c r="Q99" s="2">
        <v>-1.0930614355838688</v>
      </c>
      <c r="R99" s="2">
        <v>-1.1489449060906758</v>
      </c>
      <c r="S99" s="2">
        <v>-1.1364017235186934</v>
      </c>
    </row>
    <row r="100" spans="1:19">
      <c r="A100" t="s">
        <v>98</v>
      </c>
      <c r="B100">
        <v>2.3417155694278304</v>
      </c>
      <c r="C100">
        <v>-0.50546305273524994</v>
      </c>
      <c r="M100" t="s">
        <v>98</v>
      </c>
      <c r="N100" s="2">
        <v>-0.22181469413579122</v>
      </c>
      <c r="O100" s="2">
        <v>-0.3557514434735724</v>
      </c>
      <c r="P100" s="2">
        <v>-1.192720273319569</v>
      </c>
      <c r="Q100" s="2">
        <v>1.1556481569974644</v>
      </c>
      <c r="R100" s="2">
        <v>1.1968023844978866</v>
      </c>
      <c r="S100" s="2">
        <v>1.171718224239126</v>
      </c>
    </row>
    <row r="101" spans="1:19">
      <c r="A101" t="s">
        <v>99</v>
      </c>
      <c r="B101">
        <v>1.7145203141923977</v>
      </c>
      <c r="C101">
        <v>-0.42643762925465523</v>
      </c>
      <c r="M101" t="s">
        <v>99</v>
      </c>
      <c r="N101" s="2">
        <v>-0.20200103707254424</v>
      </c>
      <c r="O101" s="2">
        <v>-0.30047842471004521</v>
      </c>
      <c r="P101" s="2">
        <v>-0.87426453750845412</v>
      </c>
      <c r="Q101" s="2">
        <v>0.84834648565596171</v>
      </c>
      <c r="R101" s="2">
        <v>0.87738472668739598</v>
      </c>
      <c r="S101" s="2">
        <v>0.85819756282228288</v>
      </c>
    </row>
    <row r="102" spans="1:19">
      <c r="A102" t="s">
        <v>100</v>
      </c>
      <c r="B102">
        <v>-3.3553674781581542</v>
      </c>
      <c r="C102">
        <v>0.17395200264137087</v>
      </c>
      <c r="M102" t="s">
        <v>100</v>
      </c>
      <c r="N102" s="2">
        <v>-6.8823830595385563E-2</v>
      </c>
      <c r="O102" s="2">
        <v>0.11905005000471967</v>
      </c>
      <c r="P102" s="2">
        <v>1.6992697604078146</v>
      </c>
      <c r="Q102" s="2">
        <v>-1.6341900086301473</v>
      </c>
      <c r="R102" s="2">
        <v>-1.703835639591976</v>
      </c>
      <c r="S102" s="2">
        <v>-1.6759146723367435</v>
      </c>
    </row>
    <row r="103" spans="1:19">
      <c r="A103" t="s">
        <v>101</v>
      </c>
      <c r="B103">
        <v>-1.6850101558689006</v>
      </c>
      <c r="C103">
        <v>-0.2734232311890416</v>
      </c>
      <c r="M103" t="s">
        <v>101</v>
      </c>
      <c r="N103" s="2">
        <v>-0.28805042329872643</v>
      </c>
      <c r="O103" s="2">
        <v>-0.19635165938655991</v>
      </c>
      <c r="P103" s="2">
        <v>0.84695973056761176</v>
      </c>
      <c r="Q103" s="2">
        <v>-0.80643664307618046</v>
      </c>
      <c r="R103" s="2">
        <v>-0.84841135376645505</v>
      </c>
      <c r="S103" s="2">
        <v>-0.83964861610663766</v>
      </c>
    </row>
    <row r="104" spans="1:19">
      <c r="A104" t="s">
        <v>102</v>
      </c>
      <c r="B104">
        <v>-2.7394654861777412</v>
      </c>
      <c r="C104">
        <v>-2.931549314738716E-2</v>
      </c>
      <c r="M104" t="s">
        <v>102</v>
      </c>
      <c r="N104" s="2">
        <v>-0.17657464942730677</v>
      </c>
      <c r="O104" s="2">
        <v>-2.4444128436002611E-2</v>
      </c>
      <c r="P104" s="2">
        <v>1.384323964587987</v>
      </c>
      <c r="Q104" s="2">
        <v>-1.3274662557076258</v>
      </c>
      <c r="R104" s="2">
        <v>-1.3876522090288343</v>
      </c>
      <c r="S104" s="2">
        <v>-1.3673537485466296</v>
      </c>
    </row>
    <row r="105" spans="1:19">
      <c r="A105" t="s">
        <v>103</v>
      </c>
      <c r="B105">
        <v>-1.553673337854993</v>
      </c>
      <c r="C105">
        <v>-0.26331231221620188</v>
      </c>
      <c r="M105" t="s">
        <v>103</v>
      </c>
      <c r="N105" s="2">
        <v>-0.27346841920365084</v>
      </c>
      <c r="O105" s="2">
        <v>-0.18899926763774186</v>
      </c>
      <c r="P105" s="2">
        <v>0.78074586141696056</v>
      </c>
      <c r="Q105" s="2">
        <v>-0.7431378775139228</v>
      </c>
      <c r="R105" s="2">
        <v>-0.78205822017323035</v>
      </c>
      <c r="S105" s="2">
        <v>-0.77414175071535851</v>
      </c>
    </row>
    <row r="106" spans="1:19">
      <c r="A106" t="s">
        <v>104</v>
      </c>
      <c r="B106">
        <v>0.47788784704011739</v>
      </c>
      <c r="C106">
        <v>-0.32029165964835049</v>
      </c>
      <c r="M106" t="s">
        <v>104</v>
      </c>
      <c r="N106" s="2">
        <v>-0.19783169877941009</v>
      </c>
      <c r="O106" s="2">
        <v>-0.2267589359811143</v>
      </c>
      <c r="P106" s="2">
        <v>-0.247248709066824</v>
      </c>
      <c r="Q106" s="2">
        <v>0.24440243917908377</v>
      </c>
      <c r="R106" s="2">
        <v>0.2485881069258693</v>
      </c>
      <c r="S106" s="2">
        <v>0.24030402032178913</v>
      </c>
    </row>
    <row r="107" spans="1:19">
      <c r="A107" t="s">
        <v>105</v>
      </c>
      <c r="B107">
        <v>-0.37535669299486285</v>
      </c>
      <c r="C107">
        <v>-0.33032096445858539</v>
      </c>
      <c r="M107" t="s">
        <v>105</v>
      </c>
      <c r="N107" s="2">
        <v>-0.25345968341402342</v>
      </c>
      <c r="O107" s="2">
        <v>-0.23501035513307905</v>
      </c>
      <c r="P107" s="2">
        <v>0.18390229510388378</v>
      </c>
      <c r="Q107" s="2">
        <v>-0.16901991281994092</v>
      </c>
      <c r="R107" s="2">
        <v>-0.18359742978062268</v>
      </c>
      <c r="S107" s="2">
        <v>-0.18557237699773554</v>
      </c>
    </row>
    <row r="108" spans="1:19">
      <c r="A108" t="s">
        <v>106</v>
      </c>
      <c r="B108">
        <v>-2.675298068407447</v>
      </c>
      <c r="C108">
        <v>-0.25574739281976139</v>
      </c>
      <c r="M108" t="s">
        <v>106</v>
      </c>
      <c r="N108" s="2">
        <v>-0.33201525115423636</v>
      </c>
      <c r="O108" s="2">
        <v>-0.18511536033668261</v>
      </c>
      <c r="P108" s="2">
        <v>1.3478786698284946</v>
      </c>
      <c r="Q108" s="2">
        <v>-1.287416601891467</v>
      </c>
      <c r="R108" s="2">
        <v>-1.350599347170969</v>
      </c>
      <c r="S108" s="2">
        <v>-1.3340868218163613</v>
      </c>
    </row>
    <row r="109" spans="1:19">
      <c r="A109" t="s">
        <v>107</v>
      </c>
      <c r="B109">
        <v>-3.365394782643703</v>
      </c>
      <c r="C109">
        <v>0.17709844564017588</v>
      </c>
      <c r="M109" t="s">
        <v>107</v>
      </c>
      <c r="N109" s="2">
        <v>-6.7184022814983119E-2</v>
      </c>
      <c r="O109" s="2">
        <v>0.12127058831510625</v>
      </c>
      <c r="P109" s="2">
        <v>1.7043944097358721</v>
      </c>
      <c r="Q109" s="2">
        <v>-1.6391772572586547</v>
      </c>
      <c r="R109" s="2">
        <v>-1.708980058620118</v>
      </c>
      <c r="S109" s="2">
        <v>-1.6809373660453879</v>
      </c>
    </row>
    <row r="110" spans="1:19">
      <c r="A110" t="s">
        <v>108</v>
      </c>
      <c r="B110">
        <v>-2.9524966551630727</v>
      </c>
      <c r="C110">
        <v>0.17769323357852274</v>
      </c>
      <c r="M110" t="s">
        <v>108</v>
      </c>
      <c r="N110" s="2">
        <v>-4.3256899619718736E-2</v>
      </c>
      <c r="O110" s="2">
        <v>0.12224020336841192</v>
      </c>
      <c r="P110" s="2">
        <v>1.4956784492845583</v>
      </c>
      <c r="Q110" s="2">
        <v>-1.4389479091453334</v>
      </c>
      <c r="R110" s="2">
        <v>-1.4997535416670615</v>
      </c>
      <c r="S110" s="2">
        <v>-1.4748260109903064</v>
      </c>
    </row>
    <row r="111" spans="1:19">
      <c r="A111" t="s">
        <v>109</v>
      </c>
      <c r="B111">
        <v>0.24394235921412616</v>
      </c>
      <c r="C111">
        <v>0.58165990591653749</v>
      </c>
      <c r="M111" t="s">
        <v>109</v>
      </c>
      <c r="N111" s="2">
        <v>0.42257146513958438</v>
      </c>
      <c r="O111" s="2">
        <v>0.41327530425403697</v>
      </c>
      <c r="P111" s="2">
        <v>-0.11302179419478108</v>
      </c>
      <c r="Q111" s="2">
        <v>9.5373799598261796E-2</v>
      </c>
      <c r="R111" s="2">
        <v>0.11196790406147759</v>
      </c>
      <c r="S111" s="2">
        <v>0.11860059595368776</v>
      </c>
    </row>
    <row r="112" spans="1:19">
      <c r="A112" t="s">
        <v>110</v>
      </c>
      <c r="B112">
        <v>2.7368540456377963</v>
      </c>
      <c r="C112">
        <v>-0.50300243399563005</v>
      </c>
      <c r="M112" t="s">
        <v>110</v>
      </c>
      <c r="N112" s="2">
        <v>-0.19758779587982941</v>
      </c>
      <c r="O112" s="2">
        <v>-0.35348071629564892</v>
      </c>
      <c r="P112" s="2">
        <v>-1.3924254274889531</v>
      </c>
      <c r="Q112" s="2">
        <v>1.3471906189135365</v>
      </c>
      <c r="R112" s="2">
        <v>1.3969917245065948</v>
      </c>
      <c r="S112" s="2">
        <v>1.3689539615011257</v>
      </c>
    </row>
    <row r="113" spans="1:19">
      <c r="A113" t="s">
        <v>111</v>
      </c>
      <c r="B113">
        <v>-3.0508798403387787</v>
      </c>
      <c r="C113">
        <v>-0.16656688506537434</v>
      </c>
      <c r="M113" t="s">
        <v>111</v>
      </c>
      <c r="N113" s="2">
        <v>-0.29074035574118884</v>
      </c>
      <c r="O113" s="2">
        <v>-0.12229915425858645</v>
      </c>
      <c r="P113" s="2">
        <v>1.5393195750166035</v>
      </c>
      <c r="Q113" s="2">
        <v>-1.4730878791356197</v>
      </c>
      <c r="R113" s="2">
        <v>-1.5427138844656332</v>
      </c>
      <c r="S113" s="2">
        <v>-1.5220599550571114</v>
      </c>
    </row>
    <row r="114" spans="1:19">
      <c r="A114" t="s">
        <v>112</v>
      </c>
      <c r="B114">
        <v>1.4204239122208298</v>
      </c>
      <c r="C114">
        <v>-0.16968006470714314</v>
      </c>
      <c r="M114" t="s">
        <v>112</v>
      </c>
      <c r="N114" s="2">
        <v>-3.8344700947802915E-2</v>
      </c>
      <c r="O114" s="2">
        <v>-0.1185821543574264</v>
      </c>
      <c r="P114" s="2">
        <v>-0.72104979117774015</v>
      </c>
      <c r="Q114" s="2">
        <v>0.6955869958240678</v>
      </c>
      <c r="R114" s="2">
        <v>0.72320661410066933</v>
      </c>
      <c r="S114" s="2">
        <v>0.70998696787261795</v>
      </c>
    </row>
    <row r="115" spans="1:19">
      <c r="A115" t="s">
        <v>113</v>
      </c>
      <c r="B115">
        <v>-2.568492658057739</v>
      </c>
      <c r="C115">
        <v>0.18742951597968599</v>
      </c>
      <c r="M115" t="s">
        <v>113</v>
      </c>
      <c r="N115" s="2">
        <v>-1.4551986734601896E-2</v>
      </c>
      <c r="O115" s="2">
        <v>0.12966155899515097</v>
      </c>
      <c r="P115" s="2">
        <v>1.3017307223915788</v>
      </c>
      <c r="Q115" s="2">
        <v>-1.2530924956375071</v>
      </c>
      <c r="R115" s="2">
        <v>-1.3053524001578327</v>
      </c>
      <c r="S115" s="2">
        <v>-1.2831881829719904</v>
      </c>
    </row>
    <row r="116" spans="1:19">
      <c r="A116" t="s">
        <v>114</v>
      </c>
      <c r="B116">
        <v>-2.807462494805709</v>
      </c>
      <c r="C116">
        <v>-8.4309745812549297E-2</v>
      </c>
      <c r="M116" t="s">
        <v>114</v>
      </c>
      <c r="N116" s="2">
        <v>-0.21908590500398528</v>
      </c>
      <c r="O116" s="2">
        <v>-6.3577670361481015E-2</v>
      </c>
      <c r="P116" s="2">
        <v>1.4177241674988288</v>
      </c>
      <c r="Q116" s="2">
        <v>-1.3582757570103097</v>
      </c>
      <c r="R116" s="2">
        <v>-1.421008481107952</v>
      </c>
      <c r="S116" s="2">
        <v>-1.400997176466376</v>
      </c>
    </row>
    <row r="117" spans="1:19">
      <c r="A117" t="s">
        <v>115</v>
      </c>
      <c r="B117">
        <v>-2.7693192755571712</v>
      </c>
      <c r="C117">
        <v>-0.14343497011380016</v>
      </c>
      <c r="M117" t="s">
        <v>115</v>
      </c>
      <c r="N117" s="2">
        <v>-0.25845632145363151</v>
      </c>
      <c r="O117" s="2">
        <v>-0.10550331243341309</v>
      </c>
      <c r="P117" s="2">
        <v>1.3973957035812796</v>
      </c>
      <c r="Q117" s="2">
        <v>-1.3374450682353145</v>
      </c>
      <c r="R117" s="2">
        <v>-1.4004948525402241</v>
      </c>
      <c r="S117" s="2">
        <v>-1.3816339336684762</v>
      </c>
    </row>
    <row r="118" spans="1:19">
      <c r="A118" t="s">
        <v>116</v>
      </c>
      <c r="B118">
        <v>0.2696284771417799</v>
      </c>
      <c r="C118">
        <v>-0.30430236186422521</v>
      </c>
      <c r="M118" t="s">
        <v>116</v>
      </c>
      <c r="N118" s="2">
        <v>-0.19845508457762157</v>
      </c>
      <c r="O118" s="2">
        <v>-0.2156833369907635</v>
      </c>
      <c r="P118" s="2">
        <v>-0.14168732967315936</v>
      </c>
      <c r="Q118" s="2">
        <v>0.14276754570689607</v>
      </c>
      <c r="R118" s="2">
        <v>0.14273122645016917</v>
      </c>
      <c r="S118" s="2">
        <v>0.13625581151168659</v>
      </c>
    </row>
    <row r="119" spans="1:19">
      <c r="A119" t="s">
        <v>117</v>
      </c>
      <c r="B119">
        <v>8.1041092249217156E-2</v>
      </c>
      <c r="C119">
        <v>-0.33288424267802114</v>
      </c>
      <c r="M119" t="s">
        <v>117</v>
      </c>
      <c r="N119" s="2">
        <v>-0.22927471625151472</v>
      </c>
      <c r="O119" s="2">
        <v>-0.23622515893961948</v>
      </c>
      <c r="P119" s="2">
        <v>-4.6859320636708474E-2</v>
      </c>
      <c r="Q119" s="2">
        <v>5.2431007466559945E-2</v>
      </c>
      <c r="R119" s="2">
        <v>4.7736040912690195E-2</v>
      </c>
      <c r="S119" s="2">
        <v>4.2270797857318715E-2</v>
      </c>
    </row>
    <row r="120" spans="1:19">
      <c r="A120" t="s">
        <v>118</v>
      </c>
      <c r="B120">
        <v>-1.7173801323427871</v>
      </c>
      <c r="C120">
        <v>-8.7251868387987846E-2</v>
      </c>
      <c r="M120" t="s">
        <v>118</v>
      </c>
      <c r="N120" s="2">
        <v>-0.1590869642363302</v>
      </c>
      <c r="O120" s="2">
        <v>-6.4221416290768427E-2</v>
      </c>
      <c r="P120" s="2">
        <v>0.8666183411873436</v>
      </c>
      <c r="Q120" s="2">
        <v>-0.82947715882277573</v>
      </c>
      <c r="R120" s="2">
        <v>-0.86854422462187475</v>
      </c>
      <c r="S120" s="2">
        <v>-0.85682295638456074</v>
      </c>
    </row>
    <row r="121" spans="1:19">
      <c r="A121" t="s">
        <v>119</v>
      </c>
      <c r="B121">
        <v>0.91442062588181661</v>
      </c>
      <c r="C121">
        <v>-0.31216546105663862</v>
      </c>
      <c r="M121" t="s">
        <v>119</v>
      </c>
      <c r="N121" s="2">
        <v>-0.16726721661479782</v>
      </c>
      <c r="O121" s="2">
        <v>-0.22041103342568988</v>
      </c>
      <c r="P121" s="2">
        <v>-0.46777905720576396</v>
      </c>
      <c r="Q121" s="2">
        <v>0.45579744739633793</v>
      </c>
      <c r="R121" s="2">
        <v>0.46964075347083506</v>
      </c>
      <c r="S121" s="2">
        <v>0.45817247186072851</v>
      </c>
    </row>
    <row r="122" spans="1:19">
      <c r="A122" t="s">
        <v>120</v>
      </c>
      <c r="B122">
        <v>2.708787394892989</v>
      </c>
      <c r="C122">
        <v>2.2899968041573988</v>
      </c>
      <c r="M122" t="s">
        <v>120</v>
      </c>
      <c r="N122" s="2">
        <v>1.7632131177911783</v>
      </c>
      <c r="O122" s="2">
        <v>1.6293838008560304</v>
      </c>
      <c r="P122" s="2">
        <v>-1.3288035179550937</v>
      </c>
      <c r="Q122" s="2">
        <v>1.2234421365865977</v>
      </c>
      <c r="R122" s="2">
        <v>1.3268221348238916</v>
      </c>
      <c r="S122" s="2">
        <v>1.3397074367843407</v>
      </c>
    </row>
    <row r="123" spans="1:19">
      <c r="A123" t="s">
        <v>121</v>
      </c>
      <c r="B123">
        <v>-3.3330433493530136</v>
      </c>
      <c r="C123">
        <v>5.8005350036993177E-2</v>
      </c>
      <c r="M123" t="s">
        <v>121</v>
      </c>
      <c r="N123" s="2">
        <v>-0.14901844213891519</v>
      </c>
      <c r="O123" s="2">
        <v>3.6762822557312239E-2</v>
      </c>
      <c r="P123" s="2">
        <v>1.6859324028447973</v>
      </c>
      <c r="Q123" s="2">
        <v>-1.6187908323180324</v>
      </c>
      <c r="R123" s="2">
        <v>-1.6902002315578399</v>
      </c>
      <c r="S123" s="2">
        <v>-1.664138197254742</v>
      </c>
    </row>
    <row r="124" spans="1:19">
      <c r="A124" t="s">
        <v>122</v>
      </c>
      <c r="B124">
        <v>-1.4949399112108219</v>
      </c>
      <c r="C124">
        <v>-9.6841776191078477E-2</v>
      </c>
      <c r="M124" t="s">
        <v>122</v>
      </c>
      <c r="N124" s="2">
        <v>-0.15315986431916356</v>
      </c>
      <c r="O124" s="2">
        <v>-7.0734942757289601E-2</v>
      </c>
      <c r="P124" s="2">
        <v>0.75400158270575868</v>
      </c>
      <c r="Q124" s="2">
        <v>-0.72121699546670537</v>
      </c>
      <c r="R124" s="2">
        <v>-0.7556293050036077</v>
      </c>
      <c r="S124" s="2">
        <v>-0.74573071797310009</v>
      </c>
    </row>
    <row r="125" spans="1:19">
      <c r="A125" t="s">
        <v>123</v>
      </c>
      <c r="B125">
        <v>-1.5540056537357958</v>
      </c>
      <c r="C125">
        <v>-0.20226015151766652</v>
      </c>
      <c r="M125" t="s">
        <v>123</v>
      </c>
      <c r="N125" s="2">
        <v>-0.2305912684978691</v>
      </c>
      <c r="O125" s="2">
        <v>-0.14565546625420273</v>
      </c>
      <c r="P125" s="2">
        <v>0.78199442507014116</v>
      </c>
      <c r="Q125" s="2">
        <v>-0.74570651848497371</v>
      </c>
      <c r="R125" s="2">
        <v>-0.78344956089911655</v>
      </c>
      <c r="S125" s="2">
        <v>-0.77464068170526779</v>
      </c>
    </row>
    <row r="126" spans="1:19">
      <c r="A126" t="s">
        <v>124</v>
      </c>
      <c r="B126">
        <v>1.15205406871696</v>
      </c>
      <c r="C126">
        <v>0.40641578434323206</v>
      </c>
      <c r="M126" t="s">
        <v>124</v>
      </c>
      <c r="N126" s="2">
        <v>0.35114781761862646</v>
      </c>
      <c r="O126" s="2">
        <v>0.29006379665478699</v>
      </c>
      <c r="P126" s="2">
        <v>-0.57518820061367659</v>
      </c>
      <c r="Q126" s="2">
        <v>0.54271224563120979</v>
      </c>
      <c r="R126" s="2">
        <v>0.57566890317388186</v>
      </c>
      <c r="S126" s="2">
        <v>0.57287680813401998</v>
      </c>
    </row>
    <row r="127" spans="1:19">
      <c r="A127" t="s">
        <v>125</v>
      </c>
      <c r="B127">
        <v>1.3596882868202491</v>
      </c>
      <c r="C127">
        <v>-0.26864236626196919</v>
      </c>
      <c r="M127" t="s">
        <v>125</v>
      </c>
      <c r="N127" s="2">
        <v>-0.11133505885986195</v>
      </c>
      <c r="O127" s="2">
        <v>-0.18892137435894441</v>
      </c>
      <c r="P127" s="2">
        <v>-0.69209852962859952</v>
      </c>
      <c r="Q127" s="2">
        <v>0.67003300851838121</v>
      </c>
      <c r="R127" s="2">
        <v>0.69441081391382331</v>
      </c>
      <c r="S127" s="2">
        <v>0.68020819720677517</v>
      </c>
    </row>
    <row r="128" spans="1:19">
      <c r="A128" t="s">
        <v>126</v>
      </c>
      <c r="B128">
        <v>0.76187966146944663</v>
      </c>
      <c r="C128">
        <v>-3.2080023208535854E-2</v>
      </c>
      <c r="M128" t="s">
        <v>126</v>
      </c>
      <c r="N128" s="2">
        <v>2.0839352478821432E-2</v>
      </c>
      <c r="O128" s="2">
        <v>-2.1765392295091161E-2</v>
      </c>
      <c r="P128" s="2">
        <v>-0.38570992352012029</v>
      </c>
      <c r="Q128" s="2">
        <v>0.37077150037675327</v>
      </c>
      <c r="R128" s="2">
        <v>0.38672936774096056</v>
      </c>
      <c r="S128" s="2">
        <v>0.38049767551131514</v>
      </c>
    </row>
    <row r="129" spans="1:19">
      <c r="A129" t="s">
        <v>127</v>
      </c>
      <c r="B129">
        <v>-0.86609970403950842</v>
      </c>
      <c r="C129">
        <v>-0.13664032628958947</v>
      </c>
      <c r="M129" t="s">
        <v>127</v>
      </c>
      <c r="N129" s="2">
        <v>-0.14531853213309978</v>
      </c>
      <c r="O129" s="2">
        <v>-9.8156494872765856E-2</v>
      </c>
      <c r="P129" s="2">
        <v>0.4354085810780825</v>
      </c>
      <c r="Q129" s="2">
        <v>-0.41466436695077374</v>
      </c>
      <c r="R129" s="2">
        <v>-0.43616381338103344</v>
      </c>
      <c r="S129" s="2">
        <v>-0.43160289739600149</v>
      </c>
    </row>
    <row r="130" spans="1:19">
      <c r="A130" t="s">
        <v>128</v>
      </c>
      <c r="B130">
        <v>0.67029264716561554</v>
      </c>
      <c r="C130">
        <v>0.11446881270100423</v>
      </c>
      <c r="M130" t="s">
        <v>128</v>
      </c>
      <c r="N130" s="2">
        <v>0.11859184385693494</v>
      </c>
      <c r="O130" s="2">
        <v>8.2156169993147746E-2</v>
      </c>
      <c r="P130" s="2">
        <v>-0.3368174562766092</v>
      </c>
      <c r="Q130" s="2">
        <v>0.32057355654615488</v>
      </c>
      <c r="R130" s="2">
        <v>0.33738161248962995</v>
      </c>
      <c r="S130" s="2">
        <v>0.33397892713872862</v>
      </c>
    </row>
    <row r="131" spans="1:19">
      <c r="A131" t="s">
        <v>129</v>
      </c>
      <c r="B131">
        <v>-1.3877751323417202</v>
      </c>
      <c r="C131">
        <v>-0.21430130517139001</v>
      </c>
      <c r="M131" t="s">
        <v>129</v>
      </c>
      <c r="N131" s="2">
        <v>-0.2295868636271014</v>
      </c>
      <c r="O131" s="2">
        <v>-0.15398377743518932</v>
      </c>
      <c r="P131" s="2">
        <v>0.69774916751399918</v>
      </c>
      <c r="Q131" s="2">
        <v>-0.66461101977847215</v>
      </c>
      <c r="R131" s="2">
        <v>-0.6989701194378819</v>
      </c>
      <c r="S131" s="2">
        <v>-0.69159438939051154</v>
      </c>
    </row>
    <row r="132" spans="1:19">
      <c r="A132" t="s">
        <v>130</v>
      </c>
      <c r="B132">
        <v>0.26417373234359254</v>
      </c>
      <c r="C132">
        <v>-0.17568569031864148</v>
      </c>
      <c r="M132" t="s">
        <v>130</v>
      </c>
      <c r="N132" s="2">
        <v>-0.10839785317819865</v>
      </c>
      <c r="O132" s="2">
        <v>-0.12437861328992074</v>
      </c>
      <c r="P132" s="2">
        <v>-0.13665346178939397</v>
      </c>
      <c r="Q132" s="2">
        <v>0.13505028978231473</v>
      </c>
      <c r="R132" s="2">
        <v>0.13739067937989502</v>
      </c>
      <c r="S132" s="2">
        <v>0.13283124803951074</v>
      </c>
    </row>
    <row r="133" spans="1:19">
      <c r="A133" t="s">
        <v>131</v>
      </c>
      <c r="B133">
        <v>-0.87266008482965085</v>
      </c>
      <c r="C133">
        <v>-0.10005530993523047</v>
      </c>
      <c r="M133" t="s">
        <v>131</v>
      </c>
      <c r="N133" s="2">
        <v>-0.11998693502900629</v>
      </c>
      <c r="O133" s="2">
        <v>-7.2191502980022026E-2</v>
      </c>
      <c r="P133" s="2">
        <v>0.4393724811286227</v>
      </c>
      <c r="Q133" s="2">
        <v>-0.41928876436006685</v>
      </c>
      <c r="R133" s="2">
        <v>-0.44022115861217542</v>
      </c>
      <c r="S133" s="2">
        <v>-0.43507734650220431</v>
      </c>
    </row>
    <row r="134" spans="1:19">
      <c r="A134" t="s">
        <v>132</v>
      </c>
      <c r="B134">
        <v>-1.8700460991458687</v>
      </c>
      <c r="C134">
        <v>0.62965151694634658</v>
      </c>
      <c r="M134" t="s">
        <v>132</v>
      </c>
      <c r="N134" s="2">
        <v>0.33592667090723177</v>
      </c>
      <c r="O134" s="2">
        <v>0.44454482419727148</v>
      </c>
      <c r="P134" s="2">
        <v>0.95648198198400358</v>
      </c>
      <c r="Q134" s="2">
        <v>-0.93178877443311192</v>
      </c>
      <c r="R134" s="2">
        <v>-0.9602688703916793</v>
      </c>
      <c r="S134" s="2">
        <v>-0.93694301390916845</v>
      </c>
    </row>
    <row r="135" spans="1:19">
      <c r="A135" t="s">
        <v>133</v>
      </c>
      <c r="B135">
        <v>2.7809422193958153</v>
      </c>
      <c r="C135">
        <v>2.8499361660039484</v>
      </c>
      <c r="M135" t="s">
        <v>133</v>
      </c>
      <c r="N135" s="2">
        <v>2.1607423535782755</v>
      </c>
      <c r="O135" s="2">
        <v>2.0270107885368143</v>
      </c>
      <c r="P135" s="2">
        <v>-1.3553684512231561</v>
      </c>
      <c r="Q135" s="2">
        <v>1.2363566486767668</v>
      </c>
      <c r="R135" s="2">
        <v>1.3521708315576548</v>
      </c>
      <c r="S135" s="2">
        <v>1.3726719067243118</v>
      </c>
    </row>
    <row r="136" spans="1:19">
      <c r="A136" t="s">
        <v>134</v>
      </c>
      <c r="B136">
        <v>-2.3636282460047799</v>
      </c>
      <c r="C136">
        <v>-0.14024159805917469</v>
      </c>
      <c r="M136" t="s">
        <v>134</v>
      </c>
      <c r="N136" s="2">
        <v>-0.23311374917045061</v>
      </c>
      <c r="O136" s="2">
        <v>-0.10269837531987455</v>
      </c>
      <c r="P136" s="2">
        <v>1.1923690371048492</v>
      </c>
      <c r="Q136" s="2">
        <v>-1.1408135839020825</v>
      </c>
      <c r="R136" s="2">
        <v>-1.194972625019219</v>
      </c>
      <c r="S136" s="2">
        <v>-1.1791344649296769</v>
      </c>
    </row>
    <row r="137" spans="1:19">
      <c r="A137" t="s">
        <v>135</v>
      </c>
      <c r="B137">
        <v>-3.6053491877192845</v>
      </c>
      <c r="C137">
        <v>7.6235333697182092E-2</v>
      </c>
      <c r="M137" t="s">
        <v>135</v>
      </c>
      <c r="N137" s="2">
        <v>-0.15171411124377959</v>
      </c>
      <c r="O137" s="2">
        <v>4.9344305259274253E-2</v>
      </c>
      <c r="P137" s="2">
        <v>1.8239099361392113</v>
      </c>
      <c r="Q137" s="2">
        <v>-1.7515761872866935</v>
      </c>
      <c r="R137" s="2">
        <v>-1.8285579007301076</v>
      </c>
      <c r="S137" s="2">
        <v>-1.8001699831239224</v>
      </c>
    </row>
    <row r="138" spans="1:19">
      <c r="A138" t="s">
        <v>136</v>
      </c>
      <c r="B138">
        <v>-5.851933403099642E-2</v>
      </c>
      <c r="C138">
        <v>0.58436034906176759</v>
      </c>
      <c r="M138" t="s">
        <v>136</v>
      </c>
      <c r="N138" s="2">
        <v>0.40724754477535996</v>
      </c>
      <c r="O138" s="2">
        <v>0.41479154845534244</v>
      </c>
      <c r="P138" s="2">
        <v>3.992513729183704E-2</v>
      </c>
      <c r="Q138" s="2">
        <v>-5.1424564848839546E-2</v>
      </c>
      <c r="R138" s="2">
        <v>-4.1360340194016534E-2</v>
      </c>
      <c r="S138" s="2">
        <v>-3.2399975568712269E-2</v>
      </c>
    </row>
    <row r="139" spans="1:19">
      <c r="A139" t="s">
        <v>137</v>
      </c>
      <c r="B139">
        <v>1.6900658848537282</v>
      </c>
      <c r="C139">
        <v>-0.24534495657453978</v>
      </c>
      <c r="M139" t="s">
        <v>137</v>
      </c>
      <c r="N139" s="2">
        <v>-7.6155246002702362E-2</v>
      </c>
      <c r="O139" s="2">
        <v>-0.1719433263824183</v>
      </c>
      <c r="P139" s="2">
        <v>-0.85869724888874555</v>
      </c>
      <c r="Q139" s="2">
        <v>0.82934522479535289</v>
      </c>
      <c r="R139" s="2">
        <v>0.86136483493798244</v>
      </c>
      <c r="S139" s="2">
        <v>0.84500228867980154</v>
      </c>
    </row>
    <row r="140" spans="1:19">
      <c r="A140" t="s">
        <v>138</v>
      </c>
      <c r="B140">
        <v>1.1110219117907343</v>
      </c>
      <c r="C140">
        <v>0.68193583323846851</v>
      </c>
      <c r="M140" t="s">
        <v>138</v>
      </c>
      <c r="N140" s="2">
        <v>0.54239566966304353</v>
      </c>
      <c r="O140" s="2">
        <v>0.48561603786682411</v>
      </c>
      <c r="P140" s="2">
        <v>-0.54956932388599156</v>
      </c>
      <c r="Q140" s="2">
        <v>0.5119473439103448</v>
      </c>
      <c r="R140" s="2">
        <v>0.54935667760624507</v>
      </c>
      <c r="S140" s="2">
        <v>0.55089099330734514</v>
      </c>
    </row>
    <row r="141" spans="1:19">
      <c r="A141" t="s">
        <v>139</v>
      </c>
      <c r="B141">
        <v>-1.7412753975858464</v>
      </c>
      <c r="C141">
        <v>-3.2527097293066935E-3</v>
      </c>
      <c r="M141" t="s">
        <v>139</v>
      </c>
      <c r="N141" s="2">
        <v>-0.10142854889934658</v>
      </c>
      <c r="O141" s="2">
        <v>-4.6175311596712652E-3</v>
      </c>
      <c r="P141" s="2">
        <v>0.88018448866975052</v>
      </c>
      <c r="Q141" s="2">
        <v>-0.84437854008000912</v>
      </c>
      <c r="R141" s="2">
        <v>-0.88233587353645127</v>
      </c>
      <c r="S141" s="2">
        <v>-0.86920945200836519</v>
      </c>
    </row>
    <row r="142" spans="1:19">
      <c r="A142" t="s">
        <v>140</v>
      </c>
      <c r="B142">
        <v>0.57234825212561269</v>
      </c>
      <c r="C142">
        <v>-6.5388205892770307E-2</v>
      </c>
      <c r="M142" t="s">
        <v>140</v>
      </c>
      <c r="N142" s="2">
        <v>-1.3354792658695075E-2</v>
      </c>
      <c r="O142" s="2">
        <v>-4.566392382726199E-2</v>
      </c>
      <c r="P142" s="2">
        <v>-0.2904883469329782</v>
      </c>
      <c r="Q142" s="2">
        <v>0.28016348892927984</v>
      </c>
      <c r="R142" s="2">
        <v>0.29135046524768582</v>
      </c>
      <c r="S142" s="2">
        <v>0.28606719651497353</v>
      </c>
    </row>
    <row r="143" spans="1:19">
      <c r="A143" t="s">
        <v>141</v>
      </c>
      <c r="B143">
        <v>-2.1275543549405187</v>
      </c>
      <c r="C143">
        <v>0.15787038449481483</v>
      </c>
      <c r="M143" t="s">
        <v>141</v>
      </c>
      <c r="N143" s="2">
        <v>-1.0214888196185018E-2</v>
      </c>
      <c r="O143" s="2">
        <v>0.10926044073314545</v>
      </c>
      <c r="P143" s="2">
        <v>1.0783063133677251</v>
      </c>
      <c r="Q143" s="2">
        <v>-1.0380747921889473</v>
      </c>
      <c r="R143" s="2">
        <v>-1.0813123535307114</v>
      </c>
      <c r="S143" s="2">
        <v>-1.0629149628036565</v>
      </c>
    </row>
    <row r="144" spans="1:19">
      <c r="A144" t="s">
        <v>142</v>
      </c>
      <c r="B144">
        <v>2.2552337431464258</v>
      </c>
      <c r="C144">
        <v>-0.15633040561441278</v>
      </c>
      <c r="M144" t="s">
        <v>142</v>
      </c>
      <c r="N144" s="2">
        <v>1.8566590741608074E-2</v>
      </c>
      <c r="O144" s="2">
        <v>-0.10799787279603533</v>
      </c>
      <c r="P144" s="2">
        <v>-1.1428229928649689</v>
      </c>
      <c r="Q144" s="2">
        <v>1.0999377069063199</v>
      </c>
      <c r="R144" s="2">
        <v>1.1459837489277078</v>
      </c>
      <c r="S144" s="2">
        <v>1.126642830813736</v>
      </c>
    </row>
    <row r="145" spans="1:19">
      <c r="A145" t="s">
        <v>143</v>
      </c>
      <c r="B145">
        <v>0.60753058505431368</v>
      </c>
      <c r="C145">
        <v>0.13901297189882242</v>
      </c>
      <c r="M145" t="s">
        <v>143</v>
      </c>
      <c r="N145" s="2">
        <v>0.13226341217620688</v>
      </c>
      <c r="O145" s="2">
        <v>9.9498202349679737E-2</v>
      </c>
      <c r="P145" s="2">
        <v>-0.30465583692609399</v>
      </c>
      <c r="Q145" s="2">
        <v>0.28916653053316421</v>
      </c>
      <c r="R145" s="2">
        <v>0.30508494229194821</v>
      </c>
      <c r="S145" s="2">
        <v>0.30251484640304988</v>
      </c>
    </row>
    <row r="146" spans="1:19">
      <c r="A146" t="s">
        <v>144</v>
      </c>
      <c r="B146">
        <v>2.4416821869775927</v>
      </c>
      <c r="C146">
        <v>-0.30346545891875609</v>
      </c>
      <c r="M146" t="s">
        <v>144</v>
      </c>
      <c r="N146" s="2">
        <v>-7.4196651292892657E-2</v>
      </c>
      <c r="O146" s="2">
        <v>-0.21220987315035553</v>
      </c>
      <c r="P146" s="2">
        <v>-1.2396797780273485</v>
      </c>
      <c r="Q146" s="2">
        <v>1.1961659195087497</v>
      </c>
      <c r="R146" s="2">
        <v>1.2434148057103589</v>
      </c>
      <c r="S146" s="2">
        <v>1.2205186502184238</v>
      </c>
    </row>
    <row r="147" spans="1:19">
      <c r="A147" t="s">
        <v>145</v>
      </c>
      <c r="B147">
        <v>-1.2574933057965898</v>
      </c>
      <c r="C147">
        <v>0.2859728388369821</v>
      </c>
      <c r="M147" t="s">
        <v>145</v>
      </c>
      <c r="N147" s="2">
        <v>0.12933036737242454</v>
      </c>
      <c r="O147" s="2">
        <v>0.20136068820622979</v>
      </c>
      <c r="P147" s="2">
        <v>0.64074409685632805</v>
      </c>
      <c r="Q147" s="2">
        <v>-0.62115252569739521</v>
      </c>
      <c r="R147" s="2">
        <v>-0.6429700840151088</v>
      </c>
      <c r="S147" s="2">
        <v>-0.62928802723495747</v>
      </c>
    </row>
    <row r="148" spans="1:19">
      <c r="A148" t="s">
        <v>146</v>
      </c>
      <c r="B148">
        <v>2.0527970713170456</v>
      </c>
      <c r="C148">
        <v>-0.14186536057953758</v>
      </c>
      <c r="M148" t="s">
        <v>146</v>
      </c>
      <c r="N148" s="2">
        <v>1.7203771871411158E-2</v>
      </c>
      <c r="O148" s="2">
        <v>-9.7996704906766111E-2</v>
      </c>
      <c r="P148" s="2">
        <v>-1.0402320567995618</v>
      </c>
      <c r="Q148" s="2">
        <v>1.0011868885235116</v>
      </c>
      <c r="R148" s="2">
        <v>1.0431080855605099</v>
      </c>
      <c r="S148" s="2">
        <v>1.0255095692846874</v>
      </c>
    </row>
    <row r="149" spans="1:19">
      <c r="A149" t="s">
        <v>147</v>
      </c>
      <c r="B149">
        <v>2.5041599710084022</v>
      </c>
      <c r="C149">
        <v>-0.19079958629857977</v>
      </c>
      <c r="M149" t="s">
        <v>147</v>
      </c>
      <c r="N149" s="2">
        <v>8.5212139740547255E-3</v>
      </c>
      <c r="O149" s="2">
        <v>-0.13213943499165628</v>
      </c>
      <c r="P149" s="2">
        <v>-1.2692691862478542</v>
      </c>
      <c r="Q149" s="2">
        <v>1.2220244690265165</v>
      </c>
      <c r="R149" s="2">
        <v>1.2728189578354014</v>
      </c>
      <c r="S149" s="2">
        <v>1.2510923353941457</v>
      </c>
    </row>
    <row r="150" spans="1:19">
      <c r="A150" t="s">
        <v>148</v>
      </c>
      <c r="B150">
        <v>2.442951171544514</v>
      </c>
      <c r="C150">
        <v>-5.9048415521911229E-2</v>
      </c>
      <c r="M150" t="s">
        <v>148</v>
      </c>
      <c r="N150" s="2">
        <v>9.7606313286443369E-2</v>
      </c>
      <c r="O150" s="2">
        <v>-3.868326844985856E-2</v>
      </c>
      <c r="P150" s="2">
        <v>-1.235995290109454</v>
      </c>
      <c r="Q150" s="2">
        <v>1.1871432705336045</v>
      </c>
      <c r="R150" s="2">
        <v>1.2391619450524292</v>
      </c>
      <c r="S150" s="2">
        <v>1.2198188087838826</v>
      </c>
    </row>
    <row r="151" spans="1:19">
      <c r="A151" t="s">
        <v>149</v>
      </c>
      <c r="B151">
        <v>-4.1622488203956038</v>
      </c>
      <c r="C151">
        <v>0.82893648863563318</v>
      </c>
      <c r="M151" t="s">
        <v>149</v>
      </c>
      <c r="N151" s="2">
        <v>0.34543563184752279</v>
      </c>
      <c r="O151" s="2">
        <v>0.58298946787003525</v>
      </c>
      <c r="P151" s="2">
        <v>2.1187536341488906</v>
      </c>
      <c r="Q151" s="2">
        <v>-2.0513500134833755</v>
      </c>
      <c r="R151" s="2">
        <v>-2.1258472796554253</v>
      </c>
      <c r="S151" s="2">
        <v>-2.0822747064744203</v>
      </c>
    </row>
    <row r="152" spans="1:19">
      <c r="A152" t="s">
        <v>150</v>
      </c>
      <c r="B152">
        <v>0.42388569826684108</v>
      </c>
      <c r="C152">
        <v>5.2346594818318763E-2</v>
      </c>
      <c r="M152" t="s">
        <v>150</v>
      </c>
      <c r="N152" s="2">
        <v>6.0914241217809889E-2</v>
      </c>
      <c r="O152" s="2">
        <v>3.7725596353286851E-2</v>
      </c>
      <c r="P152" s="2">
        <v>-0.2133543858504536</v>
      </c>
      <c r="Q152" s="2">
        <v>0.20351751657800587</v>
      </c>
      <c r="R152" s="2">
        <v>0.21375788767772536</v>
      </c>
      <c r="S152" s="2">
        <v>0.2113139316768817</v>
      </c>
    </row>
    <row r="153" spans="1:19">
      <c r="A153" t="s">
        <v>151</v>
      </c>
      <c r="B153">
        <v>0.96843914161683475</v>
      </c>
      <c r="C153">
        <v>0.13739267451789106</v>
      </c>
      <c r="M153" t="s">
        <v>151</v>
      </c>
      <c r="N153" s="2">
        <v>0.15167405174808207</v>
      </c>
      <c r="O153" s="2">
        <v>9.8826290119593596E-2</v>
      </c>
      <c r="P153" s="2">
        <v>-0.48712945799830498</v>
      </c>
      <c r="Q153" s="2">
        <v>0.46426863544547897</v>
      </c>
      <c r="R153" s="2">
        <v>0.48800982438771473</v>
      </c>
      <c r="S153" s="2">
        <v>0.48268561303108176</v>
      </c>
    </row>
    <row r="154" spans="1:19">
      <c r="A154" t="s">
        <v>152</v>
      </c>
      <c r="B154">
        <v>0.18420398405613442</v>
      </c>
      <c r="C154">
        <v>0.49813051547241499</v>
      </c>
      <c r="M154" t="s">
        <v>152</v>
      </c>
      <c r="N154" s="2">
        <v>0.36048125931534042</v>
      </c>
      <c r="O154" s="2">
        <v>0.35389406729169787</v>
      </c>
      <c r="P154" s="2">
        <v>-8.4301508540102377E-2</v>
      </c>
      <c r="Q154" s="2">
        <v>6.9694905898500942E-2</v>
      </c>
      <c r="R154" s="2">
        <v>8.3368328862654856E-2</v>
      </c>
      <c r="S154" s="2">
        <v>8.923545538317286E-2</v>
      </c>
    </row>
    <row r="155" spans="1:19">
      <c r="A155" t="s">
        <v>153</v>
      </c>
      <c r="B155">
        <v>2.5341799107766563</v>
      </c>
      <c r="C155">
        <v>-5.7462122563426303E-2</v>
      </c>
      <c r="M155" t="s">
        <v>153</v>
      </c>
      <c r="N155" s="2">
        <v>0.10391516290684634</v>
      </c>
      <c r="O155" s="2">
        <v>-3.7436139062580878E-2</v>
      </c>
      <c r="P155" s="2">
        <v>-1.2820847743986721</v>
      </c>
      <c r="Q155" s="2">
        <v>1.2313260404473554</v>
      </c>
      <c r="R155" s="2">
        <v>1.2853608428717105</v>
      </c>
      <c r="S155" s="2">
        <v>1.2653506261535081</v>
      </c>
    </row>
    <row r="156" spans="1:19">
      <c r="A156" t="s">
        <v>154</v>
      </c>
      <c r="B156">
        <v>0.22972306234018625</v>
      </c>
      <c r="C156">
        <v>0.28979827433573641</v>
      </c>
      <c r="M156" t="s">
        <v>154</v>
      </c>
      <c r="N156" s="2">
        <v>0.21669593971785744</v>
      </c>
      <c r="O156" s="2">
        <v>0.20604804470498947</v>
      </c>
      <c r="P156" s="2">
        <v>-0.11099942584231977</v>
      </c>
      <c r="Q156" s="2">
        <v>9.9986517164735847E-2</v>
      </c>
      <c r="R156" s="2">
        <v>0.11060848573527605</v>
      </c>
      <c r="S156" s="2">
        <v>0.11309458383697996</v>
      </c>
    </row>
    <row r="157" spans="1:19">
      <c r="A157" t="s">
        <v>155</v>
      </c>
      <c r="B157">
        <v>-2.4558100511928078</v>
      </c>
      <c r="C157">
        <v>0.40435412954264183</v>
      </c>
      <c r="M157" t="s">
        <v>155</v>
      </c>
      <c r="N157" s="2">
        <v>0.14427799298021846</v>
      </c>
      <c r="O157" s="2">
        <v>0.28381748712979887</v>
      </c>
      <c r="P157" s="2">
        <v>1.2486072812950877</v>
      </c>
      <c r="Q157" s="2">
        <v>-1.2069961814235766</v>
      </c>
      <c r="R157" s="2">
        <v>-1.2525950839843896</v>
      </c>
      <c r="S157" s="2">
        <v>-1.2281214903512883</v>
      </c>
    </row>
    <row r="158" spans="1:19">
      <c r="A158" t="s">
        <v>156</v>
      </c>
      <c r="B158">
        <v>9.2175178815700254E-2</v>
      </c>
      <c r="C158">
        <v>6.7086830590264601E-2</v>
      </c>
      <c r="M158" t="s">
        <v>156</v>
      </c>
      <c r="N158" s="2">
        <v>5.2384298588521283E-2</v>
      </c>
      <c r="O158" s="2">
        <v>4.7750770083017847E-2</v>
      </c>
      <c r="P158" s="2">
        <v>-4.5408619012107833E-2</v>
      </c>
      <c r="Q158" s="2">
        <v>4.205890384460529E-2</v>
      </c>
      <c r="R158" s="2">
        <v>4.5366467982134388E-2</v>
      </c>
      <c r="S158" s="2">
        <v>4.5646962175483828E-2</v>
      </c>
    </row>
    <row r="159" spans="1:19">
      <c r="A159" t="s">
        <v>157</v>
      </c>
      <c r="B159">
        <v>-0.31196970346881969</v>
      </c>
      <c r="C159">
        <v>0.11720817026303608</v>
      </c>
      <c r="M159" t="s">
        <v>157</v>
      </c>
      <c r="N159" s="2">
        <v>6.4589395194895677E-2</v>
      </c>
      <c r="O159" s="2">
        <v>8.2798889565694853E-2</v>
      </c>
      <c r="P159" s="2">
        <v>0.15978007204772551</v>
      </c>
      <c r="Q159" s="2">
        <v>-0.15592506867732239</v>
      </c>
      <c r="R159" s="2">
        <v>-0.16044018948770564</v>
      </c>
      <c r="S159" s="2">
        <v>-0.15637151948300124</v>
      </c>
    </row>
    <row r="160" spans="1:19">
      <c r="A160" t="s">
        <v>158</v>
      </c>
      <c r="B160">
        <v>0.9630750995597086</v>
      </c>
      <c r="C160">
        <v>0.76797251861027471</v>
      </c>
      <c r="M160" t="s">
        <v>158</v>
      </c>
      <c r="N160" s="2">
        <v>0.59442254486721735</v>
      </c>
      <c r="O160" s="2">
        <v>0.54650202952755533</v>
      </c>
      <c r="P160" s="2">
        <v>-0.47325710872406418</v>
      </c>
      <c r="Q160" s="2">
        <v>0.43680145463010872</v>
      </c>
      <c r="R160" s="2">
        <v>0.47266040095504386</v>
      </c>
      <c r="S160" s="2">
        <v>0.4765680961337766</v>
      </c>
    </row>
    <row r="161" spans="1:19">
      <c r="A161" t="s">
        <v>159</v>
      </c>
      <c r="B161">
        <v>2.5630502221580436</v>
      </c>
      <c r="C161">
        <v>0.17566032965219361</v>
      </c>
      <c r="M161" t="s">
        <v>159</v>
      </c>
      <c r="N161" s="2">
        <v>0.26935393452246742</v>
      </c>
      <c r="O161" s="2">
        <v>0.12810841110897919</v>
      </c>
      <c r="P161" s="2">
        <v>-1.2925530955679636</v>
      </c>
      <c r="Q161" s="2">
        <v>1.2361352281531501</v>
      </c>
      <c r="R161" s="2">
        <v>1.295321350985619</v>
      </c>
      <c r="S161" s="2">
        <v>1.2784907024360939</v>
      </c>
    </row>
    <row r="162" spans="1:19">
      <c r="A162" t="s">
        <v>160</v>
      </c>
      <c r="B162">
        <v>1.400642744867457</v>
      </c>
      <c r="C162">
        <v>6.0740465202440754</v>
      </c>
      <c r="M162" t="s">
        <v>160</v>
      </c>
      <c r="N162" s="2">
        <v>4.3474555540741315</v>
      </c>
      <c r="O162" s="2">
        <v>4.3141519450484465</v>
      </c>
      <c r="P162" s="2">
        <v>-0.60054130319165577</v>
      </c>
      <c r="Q162" s="2">
        <v>0.43978437639641171</v>
      </c>
      <c r="R162" s="2">
        <v>0.58811410871369518</v>
      </c>
      <c r="S162" s="2">
        <v>0.66605260287311763</v>
      </c>
    </row>
    <row r="163" spans="1:19">
      <c r="A163" t="s">
        <v>161</v>
      </c>
      <c r="B163">
        <v>-1.2184393146324255</v>
      </c>
      <c r="C163">
        <v>0.37069513073777816</v>
      </c>
      <c r="M163" t="s">
        <v>161</v>
      </c>
      <c r="N163" s="2">
        <v>0.19108101325541998</v>
      </c>
      <c r="O163" s="2">
        <v>0.26156141117306086</v>
      </c>
      <c r="P163" s="2">
        <v>0.62250120551302235</v>
      </c>
      <c r="Q163" s="2">
        <v>-0.6055524581822056</v>
      </c>
      <c r="R163" s="2">
        <v>-0.62487633092649286</v>
      </c>
      <c r="S163" s="2">
        <v>-0.61025483080860432</v>
      </c>
    </row>
    <row r="164" spans="1:19">
      <c r="A164" t="s">
        <v>162</v>
      </c>
      <c r="B164">
        <v>-2.4192089494372095</v>
      </c>
      <c r="C164">
        <v>0.74037851061234783</v>
      </c>
      <c r="M164" t="s">
        <v>162</v>
      </c>
      <c r="N164" s="2">
        <v>0.38245721682561939</v>
      </c>
      <c r="O164" s="2">
        <v>0.52242794864935771</v>
      </c>
      <c r="P164" s="2">
        <v>1.2360522032301129</v>
      </c>
      <c r="Q164" s="2">
        <v>-1.2024953446456539</v>
      </c>
      <c r="R164" s="2">
        <v>-1.2407781865424272</v>
      </c>
      <c r="S164" s="2">
        <v>-1.2116836157090138</v>
      </c>
    </row>
    <row r="165" spans="1:19">
      <c r="A165" t="s">
        <v>163</v>
      </c>
      <c r="B165">
        <v>-1.5614941110277321</v>
      </c>
      <c r="C165">
        <v>0.73656677388114655</v>
      </c>
      <c r="M165" t="s">
        <v>163</v>
      </c>
      <c r="N165" s="2">
        <v>0.42861482470750178</v>
      </c>
      <c r="O165" s="2">
        <v>0.52085878720242718</v>
      </c>
      <c r="P165" s="2">
        <v>0.80239641803902262</v>
      </c>
      <c r="Q165" s="2">
        <v>-0.78635913430763638</v>
      </c>
      <c r="R165" s="2">
        <v>-0.80605005082943459</v>
      </c>
      <c r="S165" s="2">
        <v>-0.78350018682952316</v>
      </c>
    </row>
    <row r="166" spans="1:19">
      <c r="A166" t="s">
        <v>164</v>
      </c>
      <c r="B166">
        <v>0.96813418968918874</v>
      </c>
      <c r="C166">
        <v>3.5043713100130267</v>
      </c>
      <c r="M166" t="s">
        <v>164</v>
      </c>
      <c r="N166" s="2">
        <v>2.5173413042499404</v>
      </c>
      <c r="O166" s="2">
        <v>2.4892267299681992</v>
      </c>
      <c r="P166" s="2">
        <v>-0.42738256251896345</v>
      </c>
      <c r="Q166" s="2">
        <v>0.3313506584037017</v>
      </c>
      <c r="R166" s="2">
        <v>0.42041123076258341</v>
      </c>
      <c r="S166" s="2">
        <v>0.46416636661377514</v>
      </c>
    </row>
    <row r="167" spans="1:19">
      <c r="A167" t="s">
        <v>165</v>
      </c>
      <c r="B167">
        <v>-0.50080029583895835</v>
      </c>
      <c r="C167">
        <v>1.4056543898969029</v>
      </c>
      <c r="M167" t="s">
        <v>165</v>
      </c>
      <c r="N167" s="2">
        <v>0.95911762832267378</v>
      </c>
      <c r="O167" s="2">
        <v>0.99728646290617828</v>
      </c>
      <c r="P167" s="2">
        <v>0.27804133453156243</v>
      </c>
      <c r="Q167" s="2">
        <v>-0.29831393346108392</v>
      </c>
      <c r="R167" s="2">
        <v>-0.28194005408756762</v>
      </c>
      <c r="S167" s="2">
        <v>-0.25766238644702816</v>
      </c>
    </row>
    <row r="168" spans="1:19">
      <c r="A168" t="s">
        <v>166</v>
      </c>
      <c r="B168">
        <v>2.5453006242269209</v>
      </c>
      <c r="C168">
        <v>4.2465656330179415</v>
      </c>
      <c r="M168" t="s">
        <v>166</v>
      </c>
      <c r="N168" s="2">
        <v>3.128616313689403</v>
      </c>
      <c r="O168" s="2">
        <v>3.018241466570645</v>
      </c>
      <c r="P168" s="2">
        <v>-1.2115287376764421</v>
      </c>
      <c r="Q168" s="2">
        <v>1.0669987735001094</v>
      </c>
      <c r="R168" s="2">
        <v>1.2047822078457626</v>
      </c>
      <c r="S168" s="2">
        <v>1.2474233127534144</v>
      </c>
    </row>
    <row r="169" spans="1:19">
      <c r="A169" t="s">
        <v>167</v>
      </c>
      <c r="B169">
        <v>-1.1562955821347436</v>
      </c>
      <c r="C169">
        <v>6.7538584890796018</v>
      </c>
      <c r="M169" t="s">
        <v>167</v>
      </c>
      <c r="N169" s="2">
        <v>4.6795159917623295</v>
      </c>
      <c r="O169" s="2">
        <v>4.7933978432658417</v>
      </c>
      <c r="P169" s="2">
        <v>0.70406328563383758</v>
      </c>
      <c r="Q169" s="2">
        <v>-0.82712046530002692</v>
      </c>
      <c r="R169" s="2">
        <v>-0.72124599845584325</v>
      </c>
      <c r="S169" s="2">
        <v>-0.61405374211683428</v>
      </c>
    </row>
    <row r="170" spans="1:19">
      <c r="A170" t="s">
        <v>168</v>
      </c>
      <c r="B170">
        <v>0.77051055962198045</v>
      </c>
      <c r="C170">
        <v>9.4616800257084197</v>
      </c>
      <c r="M170" t="s">
        <v>168</v>
      </c>
      <c r="N170" s="2">
        <v>6.6917746680553103</v>
      </c>
      <c r="O170" s="2">
        <v>6.7183814912335187</v>
      </c>
      <c r="P170" s="2">
        <v>-0.22204127617427319</v>
      </c>
      <c r="Q170" s="2">
        <v>5.8996261480154244E-4</v>
      </c>
      <c r="R170" s="2">
        <v>0.20093331012950294</v>
      </c>
      <c r="S170" s="2">
        <v>0.33301725195872395</v>
      </c>
    </row>
  </sheetData>
  <mergeCells count="4">
    <mergeCell ref="F5:F6"/>
    <mergeCell ref="G5:G6"/>
    <mergeCell ref="H5:H6"/>
    <mergeCell ref="I5:I6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4</vt:i4>
      </vt:variant>
      <vt:variant>
        <vt:lpstr>Névvel ellátott tartományok</vt:lpstr>
      </vt:variant>
      <vt:variant>
        <vt:i4>1</vt:i4>
      </vt:variant>
    </vt:vector>
  </HeadingPairs>
  <TitlesOfParts>
    <vt:vector size="5" baseType="lpstr">
      <vt:lpstr>PCA sketch</vt:lpstr>
      <vt:lpstr>Data</vt:lpstr>
      <vt:lpstr>PCA</vt:lpstr>
      <vt:lpstr>PCA optimum tulajdonsága</vt:lpstr>
      <vt:lpstr>NormalizaltAdatok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KóLa</dc:creator>
  <cp:lastModifiedBy>User</cp:lastModifiedBy>
  <dcterms:created xsi:type="dcterms:W3CDTF">2019-03-11T20:32:05Z</dcterms:created>
  <dcterms:modified xsi:type="dcterms:W3CDTF">2021-11-16T13:35:45Z</dcterms:modified>
</cp:coreProperties>
</file>